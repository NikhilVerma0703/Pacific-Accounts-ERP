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CA7FF9-3099-4A86-977F-C7214CD26EE0}" xr6:coauthVersionLast="47" xr6:coauthVersionMax="47" xr10:uidLastSave="{00000000-0000-0000-0000-000000000000}"/>
  <bookViews>
    <workbookView xWindow="-120" yWindow="-120" windowWidth="29040" windowHeight="15720" xr2:uid="{DA4718E4-3209-4A1C-A957-5D64B6C90C23}"/>
  </bookViews>
  <sheets>
    <sheet name="Invoice" sheetId="1" r:id="rId1"/>
  </sheets>
  <externalReferences>
    <externalReference r:id="rId2"/>
  </externalReferences>
  <definedNames>
    <definedName name="_xlnm.Print_Area" localSheetId="0">Invoice!$A$1:$J$71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1" l="1"/>
  <c r="C44" i="1"/>
  <c r="G43" i="1"/>
  <c r="J43" i="1" s="1"/>
  <c r="J48" i="1" s="1"/>
  <c r="F43" i="1"/>
  <c r="E43" i="1"/>
  <c r="D43" i="1"/>
  <c r="C43" i="1"/>
  <c r="I38" i="1"/>
  <c r="H38" i="1"/>
  <c r="H43" i="1" s="1"/>
  <c r="G38" i="1"/>
  <c r="J38" i="1" s="1"/>
  <c r="J45" i="1" s="1"/>
  <c r="J58" i="1" s="1"/>
  <c r="F38" i="1"/>
  <c r="F45" i="1" s="1"/>
  <c r="E38" i="1"/>
  <c r="E45" i="1" s="1"/>
  <c r="D38" i="1"/>
  <c r="C38" i="1"/>
  <c r="C33" i="1"/>
  <c r="C31" i="1"/>
  <c r="A22" i="1"/>
  <c r="A21" i="1"/>
  <c r="A20" i="1"/>
  <c r="A19" i="1"/>
  <c r="O18" i="1"/>
  <c r="A16" i="1"/>
  <c r="A23" i="1" s="1"/>
  <c r="A15" i="1"/>
  <c r="A14" i="1"/>
  <c r="A13" i="1"/>
  <c r="A12" i="1"/>
  <c r="L58" i="1" l="1"/>
  <c r="K58" i="1"/>
  <c r="M58" i="1" s="1"/>
  <c r="G45" i="1"/>
  <c r="H45" i="1"/>
</calcChain>
</file>

<file path=xl/sharedStrings.xml><?xml version="1.0" encoding="utf-8"?>
<sst xmlns="http://schemas.openxmlformats.org/spreadsheetml/2006/main" count="149" uniqueCount="139">
  <si>
    <t xml:space="preserve">Sree Hari Om        </t>
  </si>
  <si>
    <t>FY 2026-27</t>
  </si>
  <si>
    <t>Invoice</t>
  </si>
  <si>
    <t>(Under Rule 46 CGST 2017)</t>
  </si>
  <si>
    <t>Exporter:</t>
  </si>
  <si>
    <t>Invoice No.</t>
  </si>
  <si>
    <t>PESPL/2889</t>
  </si>
  <si>
    <t>Dated</t>
  </si>
  <si>
    <t>Pacific Engineered Surfaces Private Limited</t>
  </si>
  <si>
    <t>Buyer's PO Ref. :</t>
  </si>
  <si>
    <t xml:space="preserve"> PO-4069880 Dt: 08/20/2026(PI-SAL-ORD/25-26/01653)</t>
  </si>
  <si>
    <t>SY.NO.73/2B, NALLAGANAKOTAPALLI VILLAGE, N.H.7,</t>
  </si>
  <si>
    <t>IEC Code No.:</t>
  </si>
  <si>
    <t>IEC AALCP2750N</t>
  </si>
  <si>
    <t xml:space="preserve">HOSUR, Krishnagiri, </t>
  </si>
  <si>
    <t>RBI Code No.:</t>
  </si>
  <si>
    <t>Admin</t>
  </si>
  <si>
    <t>Hosur - 635 117</t>
  </si>
  <si>
    <t>State Code - 33</t>
  </si>
  <si>
    <t>GSTIN NO: 33AALCP2750N1Z3</t>
  </si>
  <si>
    <t>Ciot Inc</t>
  </si>
  <si>
    <t>Ciot Inc - Montreal</t>
  </si>
  <si>
    <t>Tamilnadu, India</t>
  </si>
  <si>
    <t>Disctrict Code - 577</t>
  </si>
  <si>
    <t>9225 Boul Saint- Laurent</t>
  </si>
  <si>
    <t>9151 boul. St-Laurent</t>
  </si>
  <si>
    <t>Jurisdictional Central Excise Division Office Address:</t>
  </si>
  <si>
    <t>Montreal, QC H2N 1N2</t>
  </si>
  <si>
    <t>Montreal, Québec H2N 1N2</t>
  </si>
  <si>
    <t xml:space="preserve">Consignee: </t>
  </si>
  <si>
    <t xml:space="preserve">OFFICE OF THE ASSISTANT COMMISSIONER OF CUSTOMS, CUSTOMS PREVENTIVE UNIT, 21B, RAAGAVIS CENTER, I-FLOOR, NETHAJI NAGAR, NANJUNDAPURAM MAIN ROAD, RAMANATHAPURAM, COIMBATORE-641045. </t>
  </si>
  <si>
    <t>Canada</t>
  </si>
  <si>
    <t>Tel: 514 389 6540</t>
  </si>
  <si>
    <t>Buyer if Not Consignee:</t>
  </si>
  <si>
    <t>Ciot Inc - Toronto</t>
  </si>
  <si>
    <t>21 Graniteridge Road</t>
  </si>
  <si>
    <t>Concord, Ontario L4K 4S9</t>
  </si>
  <si>
    <t>Naturoc Division DE Ciot</t>
  </si>
  <si>
    <t>9225 Boul Saint-Laurent</t>
  </si>
  <si>
    <t>Notify Party:</t>
  </si>
  <si>
    <t>Country of Origin of Goods</t>
  </si>
  <si>
    <t>Country of Final Destination</t>
  </si>
  <si>
    <t>INDIA</t>
  </si>
  <si>
    <t>CANADA</t>
  </si>
  <si>
    <t>Terms &amp; Conditions:</t>
  </si>
  <si>
    <t>Delivery Terms:</t>
  </si>
  <si>
    <t>FREE ON BOARD-KATTUPALLI PORT</t>
  </si>
  <si>
    <t>Ciot Detroit LP</t>
  </si>
  <si>
    <t>FOB - KATTUPALLI PORT (Insurance covered up to India port &amp; Insurance from POL to destination port or customer warehouse is to customers account)</t>
  </si>
  <si>
    <t>CIOT CANADA - TORONTO,</t>
  </si>
  <si>
    <t>1080 Coolidge Highway</t>
  </si>
  <si>
    <t>1020 Lawrence Avenue West</t>
  </si>
  <si>
    <t>Troy, MI 48084</t>
  </si>
  <si>
    <t>Toronto</t>
  </si>
  <si>
    <t>UNITED STATES OF AMERICA</t>
  </si>
  <si>
    <t>Payment Terms:</t>
  </si>
  <si>
    <t>100% Cash Against Documents (CAD)</t>
  </si>
  <si>
    <t>M6A 1C8</t>
  </si>
  <si>
    <t>P: 248 288 8888</t>
  </si>
  <si>
    <t>Our Bank Details</t>
  </si>
  <si>
    <t>E: shweta@pacificgranitesusa.com, A.E: sales@pacsurfaces.com</t>
  </si>
  <si>
    <t>Kotak Mahindra Bank Limited</t>
  </si>
  <si>
    <t>Pre-Carriage By</t>
  </si>
  <si>
    <t>Place of Receipt  By Pre-Carrier</t>
  </si>
  <si>
    <t>10/7, Umiya Landmark, Lavelle Road,</t>
  </si>
  <si>
    <t>By Road</t>
  </si>
  <si>
    <t>KATTUPALLI PORT, INDIA</t>
  </si>
  <si>
    <t>Next to Chancery Hotel, Bangalore 560001</t>
  </si>
  <si>
    <t>CIOT INC.</t>
  </si>
  <si>
    <t>Ciot Detroit</t>
  </si>
  <si>
    <t>Vessel/Flight No.</t>
  </si>
  <si>
    <t>Port of Loading</t>
  </si>
  <si>
    <t>Karnataka, India</t>
  </si>
  <si>
    <t>AD Code: 0180038-8400009</t>
  </si>
  <si>
    <t>8899 Jane Street St,</t>
  </si>
  <si>
    <t>2854 Industrial Row DR</t>
  </si>
  <si>
    <t>A/c No. 3214292773</t>
  </si>
  <si>
    <t>Swift Code - KKBKINBBXXX</t>
  </si>
  <si>
    <t>Concord, ON L4K 2M6</t>
  </si>
  <si>
    <t>Port of Discharge</t>
  </si>
  <si>
    <t>Final Destination</t>
  </si>
  <si>
    <t>Routing Bank: The Bank of Newyork Mellon, No.1, Wall St.</t>
  </si>
  <si>
    <t>United States of America</t>
  </si>
  <si>
    <t>MONTREAL, QC, CANADA</t>
  </si>
  <si>
    <t>Newyork, NY 10015</t>
  </si>
  <si>
    <t>Swift Code - IRVTUS3NXXX</t>
  </si>
  <si>
    <t>T (416) 665-7337</t>
  </si>
  <si>
    <t>Marks &amp; Nos</t>
  </si>
  <si>
    <t>No. of W/Crt / Bdl / Box</t>
  </si>
  <si>
    <t>Description of Goods</t>
  </si>
  <si>
    <t>Quantity</t>
  </si>
  <si>
    <t>Unit</t>
  </si>
  <si>
    <t>Rate in</t>
  </si>
  <si>
    <t>Total Amount in</t>
  </si>
  <si>
    <t>CIOT INC - SLAB WAREHOUSE</t>
  </si>
  <si>
    <t>Colour</t>
  </si>
  <si>
    <t>Thick</t>
  </si>
  <si>
    <t>Net Weight</t>
  </si>
  <si>
    <t>No.of Slabs/Pcs</t>
  </si>
  <si>
    <t>USD/Unit</t>
  </si>
  <si>
    <t xml:space="preserve">US Dollars  </t>
  </si>
  <si>
    <t>USA-041</t>
  </si>
  <si>
    <t>HSN NO: 68101990</t>
  </si>
  <si>
    <t>Artificial Quartz Slabs</t>
  </si>
  <si>
    <t/>
  </si>
  <si>
    <t>CIOT NEW YORK INC,</t>
  </si>
  <si>
    <t xml:space="preserve">5302 2nd Avenue </t>
  </si>
  <si>
    <t>01 to 13</t>
  </si>
  <si>
    <t>07 Wooden Crate(S) + 06 Sample Box</t>
  </si>
  <si>
    <t>Brooklyn, NY 11220</t>
  </si>
  <si>
    <t>T (212) 966-0972</t>
  </si>
  <si>
    <t>Total  -     Slabs / Pcs</t>
  </si>
  <si>
    <t>Add Packing Charges</t>
  </si>
  <si>
    <t>Add  Insurance Upto Customer Destination</t>
  </si>
  <si>
    <t>Less Discount</t>
  </si>
  <si>
    <t>Container No. MSNU 1968136</t>
  </si>
  <si>
    <t>Liner's OTL No. LG 00943702</t>
  </si>
  <si>
    <t>E- Seal No. ESST 0112 6369</t>
  </si>
  <si>
    <t>Vehicle No. TN 03 AM 7699</t>
  </si>
  <si>
    <t>BL No.</t>
  </si>
  <si>
    <t>SB No.</t>
  </si>
  <si>
    <t xml:space="preserve"> USD</t>
  </si>
  <si>
    <t>Amount Chargeable (In Words) :</t>
  </si>
  <si>
    <t>Total</t>
  </si>
  <si>
    <t xml:space="preserve">U.S.Dollars:  </t>
  </si>
  <si>
    <t>Eighteen Thousand Three Hundred Fourty Eight And Cents Fourty Nine Only</t>
  </si>
  <si>
    <t>"Supply Meant For Export Under Payment Of IGST.</t>
  </si>
  <si>
    <t>"Supply Meant For Export Under LUT", No AD330326017058D/2026-27 dated 06/03/2026 Vide File No. LUT Furnished Under Rule 96A Of CGST Rules, 2017 For Export Of  Goods Without Payment Of IGST.</t>
  </si>
  <si>
    <t>Container despatched under Self Sealing permission letter - Commissioner's office letter NO. :VIII/16/97/2024-CPU/CBE/138 Dated 08.08.2024 And Self Sealing done as per Circular no. 09/2025-Customs Dated 27.06.2025 Enclosed the letter of SSP No-79/TRY/2024, And Self Sealining Permn letter no. CUS/EPF/SSP/16/2025-Docks-Admn and Dated: 19.08.2025. The ARN No.AD330326017058D/2026-27 dated 06/03/2026</t>
  </si>
  <si>
    <t>Weight in MT</t>
  </si>
  <si>
    <t>Gross Wt</t>
  </si>
  <si>
    <t>24.00 MT</t>
  </si>
  <si>
    <t>For Pacific Engineered Surfaces Pvt Ltd</t>
  </si>
  <si>
    <t>Net Wt</t>
  </si>
  <si>
    <t>23.50 MT</t>
  </si>
  <si>
    <t>Declaration:</t>
  </si>
  <si>
    <t>We declare that this invoice shows the actual price of the goods</t>
  </si>
  <si>
    <t>described and that all particulars are true and correct</t>
  </si>
  <si>
    <t>(Authorised Signatory)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</si>
</sst>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dd\ mmm\ yyyy"/>
    <numFmt numFmtId="166" formatCode="_(* #,##0_);_(* \(#,##0\);_(* &quot;-&quot;??_);_(@_)"/>
    <numFmt numFmtId="167" formatCode="_(* #,##0.000_);_(* \(#,##0.000\);_(* &quot;-&quot;??_);_(@_)"/>
    <numFmt numFmtId="168" formatCode="0.000"/>
    <numFmt numFmtId="169" formatCode="_ * #,##0_ ;_ * \-#,##0_ ;_ * &quot;-&quot;??_ ;_ @_ "/>
  </numFmts>
  <fonts count="35" x14ac:knownFonts="1">
    <font>
      <sz val="10"/>
      <name val="Arial"/>
    </font>
    <font>
      <sz val="11"/>
      <color rgb="FFFF0000"/>
      <name val="Calibri"/>
      <family val="2"/>
      <scheme val="minor"/>
    </font>
    <font>
      <b/>
      <i/>
      <sz val="10"/>
      <name val="Lucida Calligraphy"/>
      <family val="4"/>
    </font>
    <font>
      <sz val="10"/>
      <name val="Calibri"/>
      <family val="2"/>
    </font>
    <font>
      <sz val="11"/>
      <color indexed="9"/>
      <name val="Calibri"/>
      <family val="2"/>
    </font>
    <font>
      <sz val="28"/>
      <name val="Calibri"/>
      <family val="2"/>
    </font>
    <font>
      <sz val="18"/>
      <color indexed="9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0.5"/>
      <color indexed="8"/>
      <name val="Calibri"/>
      <family val="2"/>
    </font>
    <font>
      <sz val="10"/>
      <color indexed="10"/>
      <name val="Calibri"/>
      <family val="2"/>
    </font>
    <font>
      <sz val="11"/>
      <name val="Calibri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9.5"/>
      <name val="Calibri"/>
      <family val="2"/>
    </font>
    <font>
      <b/>
      <sz val="9"/>
      <name val="Calibri"/>
      <family val="2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2"/>
      <name val="Calibri"/>
      <family val="2"/>
    </font>
    <font>
      <sz val="10"/>
      <color indexed="8"/>
      <name val="Times New Roman"/>
      <family val="1"/>
    </font>
    <font>
      <sz val="8"/>
      <name val="Century Gothic"/>
      <family val="2"/>
    </font>
    <font>
      <sz val="11"/>
      <name val="Arial"/>
      <family val="2"/>
    </font>
    <font>
      <sz val="14"/>
      <name val="Calibri"/>
      <family val="2"/>
    </font>
    <font>
      <b/>
      <sz val="11"/>
      <name val="Arial"/>
      <family val="2"/>
    </font>
    <font>
      <b/>
      <u/>
      <sz val="11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</cellStyleXfs>
  <cellXfs count="25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3" fillId="4" borderId="0" xfId="0" applyFont="1" applyFill="1"/>
    <xf numFmtId="0" fontId="7" fillId="3" borderId="0" xfId="0" applyFont="1" applyFill="1" applyAlignment="1">
      <alignment horizontal="center" vertical="center"/>
    </xf>
    <xf numFmtId="0" fontId="8" fillId="4" borderId="0" xfId="0" applyFont="1" applyFill="1"/>
    <xf numFmtId="0" fontId="8" fillId="0" borderId="0" xfId="0" applyFont="1"/>
    <xf numFmtId="164" fontId="8" fillId="3" borderId="1" xfId="1" applyFont="1" applyFill="1" applyBorder="1"/>
    <xf numFmtId="0" fontId="8" fillId="3" borderId="2" xfId="0" applyFont="1" applyFill="1" applyBorder="1"/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164" fontId="7" fillId="3" borderId="4" xfId="1" applyFont="1" applyFill="1" applyBorder="1" applyAlignment="1">
      <alignment vertical="center"/>
    </xf>
    <xf numFmtId="164" fontId="10" fillId="4" borderId="4" xfId="1" applyFont="1" applyFill="1" applyBorder="1" applyAlignment="1">
      <alignment vertical="center"/>
    </xf>
    <xf numFmtId="164" fontId="10" fillId="0" borderId="4" xfId="1" applyFont="1" applyBorder="1" applyAlignment="1">
      <alignment vertical="center"/>
    </xf>
    <xf numFmtId="165" fontId="10" fillId="4" borderId="5" xfId="1" applyNumberFormat="1" applyFont="1" applyFill="1" applyBorder="1" applyAlignment="1">
      <alignment horizontal="left" vertical="center"/>
    </xf>
    <xf numFmtId="164" fontId="11" fillId="3" borderId="6" xfId="1" applyFont="1" applyFill="1" applyBorder="1" applyAlignment="1"/>
    <xf numFmtId="164" fontId="10" fillId="3" borderId="0" xfId="1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 applyAlignment="1">
      <alignment horizontal="left"/>
    </xf>
    <xf numFmtId="164" fontId="8" fillId="3" borderId="2" xfId="1" applyFont="1" applyFill="1" applyBorder="1" applyAlignment="1">
      <alignment vertical="center"/>
    </xf>
    <xf numFmtId="164" fontId="12" fillId="0" borderId="2" xfId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4" fontId="14" fillId="3" borderId="6" xfId="1" applyFont="1" applyFill="1" applyBorder="1" applyAlignment="1"/>
    <xf numFmtId="164" fontId="14" fillId="3" borderId="0" xfId="1" applyFont="1" applyFill="1"/>
    <xf numFmtId="0" fontId="14" fillId="3" borderId="0" xfId="0" applyFont="1" applyFill="1" applyAlignment="1">
      <alignment horizontal="left"/>
    </xf>
    <xf numFmtId="0" fontId="14" fillId="3" borderId="7" xfId="0" applyFont="1" applyFill="1" applyBorder="1" applyAlignment="1">
      <alignment horizontal="left"/>
    </xf>
    <xf numFmtId="164" fontId="8" fillId="3" borderId="4" xfId="1" applyFont="1" applyFill="1" applyBorder="1" applyAlignment="1">
      <alignment vertical="center"/>
    </xf>
    <xf numFmtId="164" fontId="7" fillId="3" borderId="4" xfId="1" applyFont="1" applyFill="1" applyBorder="1" applyAlignment="1">
      <alignment horizontal="left" vertical="center"/>
    </xf>
    <xf numFmtId="164" fontId="7" fillId="3" borderId="5" xfId="1" applyFont="1" applyFill="1" applyBorder="1" applyAlignment="1">
      <alignment horizontal="left" vertical="center"/>
    </xf>
    <xf numFmtId="0" fontId="15" fillId="0" borderId="0" xfId="0" applyFont="1"/>
    <xf numFmtId="0" fontId="3" fillId="3" borderId="4" xfId="0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164" fontId="14" fillId="3" borderId="6" xfId="1" applyFont="1" applyFill="1" applyBorder="1"/>
    <xf numFmtId="164" fontId="14" fillId="3" borderId="0" xfId="1" applyFont="1" applyFill="1" applyAlignment="1">
      <alignment horizontal="left"/>
    </xf>
    <xf numFmtId="164" fontId="14" fillId="5" borderId="9" xfId="1" applyFont="1" applyFill="1" applyBorder="1" applyAlignment="1">
      <alignment horizontal="left"/>
    </xf>
    <xf numFmtId="164" fontId="8" fillId="3" borderId="2" xfId="1" applyFont="1" applyFill="1" applyBorder="1" applyAlignment="1">
      <alignment horizontal="left" vertical="center"/>
    </xf>
    <xf numFmtId="0" fontId="7" fillId="3" borderId="2" xfId="0" quotePrefix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164" fontId="16" fillId="3" borderId="6" xfId="1" applyFont="1" applyFill="1" applyBorder="1"/>
    <xf numFmtId="0" fontId="15" fillId="0" borderId="0" xfId="0" applyFont="1"/>
    <xf numFmtId="164" fontId="14" fillId="3" borderId="6" xfId="1" applyFont="1" applyFill="1" applyBorder="1" applyAlignment="1">
      <alignment horizontal="left"/>
    </xf>
    <xf numFmtId="164" fontId="14" fillId="5" borderId="10" xfId="1" applyFont="1" applyFill="1" applyBorder="1" applyAlignment="1">
      <alignment horizontal="left"/>
    </xf>
    <xf numFmtId="164" fontId="8" fillId="3" borderId="0" xfId="1" applyFont="1" applyFill="1" applyAlignment="1">
      <alignment horizontal="left" vertical="center"/>
    </xf>
    <xf numFmtId="0" fontId="7" fillId="3" borderId="11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 wrapText="1"/>
    </xf>
    <xf numFmtId="164" fontId="8" fillId="3" borderId="6" xfId="1" applyFont="1" applyFill="1" applyBorder="1"/>
    <xf numFmtId="164" fontId="8" fillId="3" borderId="0" xfId="1" applyFont="1" applyFill="1"/>
    <xf numFmtId="0" fontId="8" fillId="3" borderId="0" xfId="0" applyFont="1" applyFill="1" applyAlignment="1">
      <alignment horizontal="left"/>
    </xf>
    <xf numFmtId="0" fontId="8" fillId="3" borderId="7" xfId="0" applyFont="1" applyFill="1" applyBorder="1" applyAlignment="1">
      <alignment horizontal="left"/>
    </xf>
    <xf numFmtId="164" fontId="8" fillId="3" borderId="1" xfId="1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left" vertical="center"/>
    </xf>
    <xf numFmtId="164" fontId="8" fillId="3" borderId="2" xfId="1" applyFont="1" applyFill="1" applyBorder="1"/>
    <xf numFmtId="164" fontId="18" fillId="3" borderId="8" xfId="1" applyFont="1" applyFill="1" applyBorder="1" applyAlignment="1">
      <alignment horizontal="center" vertical="center" wrapText="1"/>
    </xf>
    <xf numFmtId="0" fontId="14" fillId="0" borderId="0" xfId="3" applyFont="1"/>
    <xf numFmtId="164" fontId="11" fillId="3" borderId="6" xfId="1" applyFont="1" applyFill="1" applyBorder="1"/>
    <xf numFmtId="0" fontId="15" fillId="0" borderId="0" xfId="3" applyFont="1"/>
    <xf numFmtId="0" fontId="7" fillId="3" borderId="0" xfId="3" applyFont="1" applyFill="1"/>
    <xf numFmtId="0" fontId="14" fillId="3" borderId="0" xfId="3" applyFont="1" applyFill="1"/>
    <xf numFmtId="0" fontId="7" fillId="3" borderId="7" xfId="3" applyFont="1" applyFill="1" applyBorder="1"/>
    <xf numFmtId="0" fontId="19" fillId="3" borderId="0" xfId="0" applyFont="1" applyFill="1"/>
    <xf numFmtId="0" fontId="20" fillId="3" borderId="0" xfId="0" applyFont="1" applyFill="1"/>
    <xf numFmtId="0" fontId="14" fillId="3" borderId="7" xfId="3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19" fillId="0" borderId="0" xfId="0" applyFont="1"/>
    <xf numFmtId="0" fontId="20" fillId="3" borderId="0" xfId="0" applyFont="1" applyFill="1" applyAlignment="1">
      <alignment horizontal="center"/>
    </xf>
    <xf numFmtId="164" fontId="10" fillId="3" borderId="0" xfId="0" applyNumberFormat="1" applyFont="1" applyFill="1"/>
    <xf numFmtId="0" fontId="10" fillId="3" borderId="0" xfId="0" applyFont="1" applyFill="1"/>
    <xf numFmtId="0" fontId="10" fillId="3" borderId="7" xfId="0" applyFont="1" applyFill="1" applyBorder="1"/>
    <xf numFmtId="164" fontId="21" fillId="3" borderId="0" xfId="0" applyNumberFormat="1" applyFont="1" applyFill="1"/>
    <xf numFmtId="0" fontId="8" fillId="3" borderId="0" xfId="0" applyFont="1" applyFill="1"/>
    <xf numFmtId="0" fontId="8" fillId="3" borderId="7" xfId="0" applyFont="1" applyFill="1" applyBorder="1"/>
    <xf numFmtId="0" fontId="20" fillId="3" borderId="0" xfId="0" applyFont="1" applyFill="1" applyAlignment="1">
      <alignment horizontal="left"/>
    </xf>
    <xf numFmtId="0" fontId="22" fillId="0" borderId="11" xfId="3" applyFont="1" applyBorder="1"/>
    <xf numFmtId="0" fontId="14" fillId="3" borderId="11" xfId="3" applyFont="1" applyFill="1" applyBorder="1"/>
    <xf numFmtId="0" fontId="14" fillId="3" borderId="12" xfId="3" applyFont="1" applyFill="1" applyBorder="1"/>
    <xf numFmtId="0" fontId="3" fillId="3" borderId="0" xfId="0" applyFont="1" applyFill="1"/>
    <xf numFmtId="164" fontId="3" fillId="3" borderId="0" xfId="0" applyNumberFormat="1" applyFont="1" applyFill="1"/>
    <xf numFmtId="0" fontId="3" fillId="3" borderId="7" xfId="0" applyFont="1" applyFill="1" applyBorder="1"/>
    <xf numFmtId="164" fontId="14" fillId="3" borderId="2" xfId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6" fontId="3" fillId="0" borderId="0" xfId="1" applyNumberFormat="1" applyFont="1"/>
    <xf numFmtId="0" fontId="7" fillId="3" borderId="1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164" fontId="3" fillId="3" borderId="6" xfId="1" applyFont="1" applyFill="1" applyBorder="1"/>
    <xf numFmtId="0" fontId="7" fillId="3" borderId="0" xfId="0" applyFont="1" applyFill="1" applyAlignment="1">
      <alignment horizontal="left"/>
    </xf>
    <xf numFmtId="0" fontId="7" fillId="3" borderId="7" xfId="0" applyFont="1" applyFill="1" applyBorder="1" applyAlignment="1">
      <alignment horizontal="left"/>
    </xf>
    <xf numFmtId="0" fontId="23" fillId="3" borderId="0" xfId="0" applyFont="1" applyFill="1"/>
    <xf numFmtId="0" fontId="23" fillId="3" borderId="0" xfId="0" applyFont="1" applyFill="1" applyAlignment="1">
      <alignment horizontal="left"/>
    </xf>
    <xf numFmtId="0" fontId="10" fillId="0" borderId="6" xfId="0" applyFont="1" applyBorder="1"/>
    <xf numFmtId="164" fontId="7" fillId="5" borderId="8" xfId="1" applyFont="1" applyFill="1" applyBorder="1" applyAlignment="1">
      <alignment horizontal="center" vertical="center" wrapText="1"/>
    </xf>
    <xf numFmtId="0" fontId="3" fillId="0" borderId="6" xfId="0" applyFont="1" applyBorder="1"/>
    <xf numFmtId="0" fontId="24" fillId="0" borderId="0" xfId="0" applyFont="1" applyAlignment="1">
      <alignment horizontal="left"/>
    </xf>
    <xf numFmtId="0" fontId="24" fillId="0" borderId="7" xfId="0" applyFont="1" applyBorder="1" applyAlignment="1">
      <alignment horizontal="left"/>
    </xf>
    <xf numFmtId="164" fontId="11" fillId="0" borderId="0" xfId="1" applyFont="1" applyAlignment="1">
      <alignment vertical="top"/>
    </xf>
    <xf numFmtId="164" fontId="25" fillId="0" borderId="6" xfId="1" applyFont="1" applyBorder="1" applyAlignment="1">
      <alignment vertical="top"/>
    </xf>
    <xf numFmtId="164" fontId="14" fillId="0" borderId="0" xfId="1" applyFont="1" applyAlignment="1">
      <alignment vertical="top"/>
    </xf>
    <xf numFmtId="164" fontId="14" fillId="0" borderId="6" xfId="1" applyFont="1" applyBorder="1" applyAlignment="1">
      <alignment vertical="top"/>
    </xf>
    <xf numFmtId="164" fontId="14" fillId="0" borderId="0" xfId="1" applyFont="1" applyAlignment="1">
      <alignment horizontal="left" vertical="center"/>
    </xf>
    <xf numFmtId="164" fontId="7" fillId="3" borderId="6" xfId="1" applyFont="1" applyFill="1" applyBorder="1"/>
    <xf numFmtId="164" fontId="14" fillId="0" borderId="0" xfId="1" applyFont="1"/>
    <xf numFmtId="164" fontId="3" fillId="3" borderId="1" xfId="1" applyFont="1" applyFill="1" applyBorder="1" applyAlignment="1">
      <alignment horizontal="left"/>
    </xf>
    <xf numFmtId="164" fontId="3" fillId="3" borderId="3" xfId="1" applyFont="1" applyFill="1" applyBorder="1" applyAlignment="1">
      <alignment horizontal="left"/>
    </xf>
    <xf numFmtId="164" fontId="3" fillId="3" borderId="2" xfId="1" applyFont="1" applyFill="1" applyBorder="1" applyAlignment="1">
      <alignment horizontal="left"/>
    </xf>
    <xf numFmtId="164" fontId="7" fillId="0" borderId="0" xfId="1" applyFont="1"/>
    <xf numFmtId="164" fontId="7" fillId="3" borderId="13" xfId="1" applyFont="1" applyFill="1" applyBorder="1"/>
    <xf numFmtId="164" fontId="7" fillId="3" borderId="12" xfId="1" applyFont="1" applyFill="1" applyBorder="1"/>
    <xf numFmtId="164" fontId="7" fillId="3" borderId="13" xfId="1" applyFont="1" applyFill="1" applyBorder="1" applyAlignment="1">
      <alignment horizontal="left"/>
    </xf>
    <xf numFmtId="164" fontId="7" fillId="3" borderId="11" xfId="1" applyFont="1" applyFill="1" applyBorder="1" applyAlignment="1">
      <alignment horizontal="left"/>
    </xf>
    <xf numFmtId="164" fontId="7" fillId="3" borderId="6" xfId="0" applyNumberFormat="1" applyFont="1" applyFill="1" applyBorder="1"/>
    <xf numFmtId="0" fontId="7" fillId="3" borderId="0" xfId="0" quotePrefix="1" applyFont="1" applyFill="1" applyAlignment="1">
      <alignment horizontal="left"/>
    </xf>
    <xf numFmtId="164" fontId="10" fillId="0" borderId="6" xfId="1" applyFont="1" applyBorder="1"/>
    <xf numFmtId="164" fontId="7" fillId="3" borderId="0" xfId="1" applyFont="1" applyFill="1" applyAlignment="1">
      <alignment horizontal="left"/>
    </xf>
    <xf numFmtId="164" fontId="7" fillId="0" borderId="0" xfId="1" applyFont="1" applyAlignment="1">
      <alignment vertical="top"/>
    </xf>
    <xf numFmtId="164" fontId="7" fillId="3" borderId="13" xfId="1" applyFont="1" applyFill="1" applyBorder="1" applyAlignment="1">
      <alignment horizontal="center"/>
    </xf>
    <xf numFmtId="164" fontId="7" fillId="3" borderId="12" xfId="1" applyFont="1" applyFill="1" applyBorder="1" applyAlignment="1">
      <alignment horizontal="center"/>
    </xf>
    <xf numFmtId="164" fontId="14" fillId="0" borderId="0" xfId="1" applyFont="1" applyAlignment="1">
      <alignment horizontal="left"/>
    </xf>
    <xf numFmtId="164" fontId="3" fillId="3" borderId="6" xfId="1" applyFont="1" applyFill="1" applyBorder="1" applyAlignment="1">
      <alignment horizontal="left"/>
    </xf>
    <xf numFmtId="164" fontId="3" fillId="3" borderId="0" xfId="1" applyFont="1" applyFill="1" applyAlignment="1">
      <alignment horizontal="left"/>
    </xf>
    <xf numFmtId="164" fontId="7" fillId="3" borderId="13" xfId="1" applyFont="1" applyFill="1" applyBorder="1" applyAlignment="1"/>
    <xf numFmtId="164" fontId="7" fillId="3" borderId="12" xfId="1" applyFont="1" applyFill="1" applyBorder="1" applyAlignment="1"/>
    <xf numFmtId="164" fontId="7" fillId="3" borderId="13" xfId="0" applyNumberFormat="1" applyFont="1" applyFill="1" applyBorder="1"/>
    <xf numFmtId="0" fontId="7" fillId="3" borderId="11" xfId="0" quotePrefix="1" applyFont="1" applyFill="1" applyBorder="1" applyAlignment="1">
      <alignment horizontal="left"/>
    </xf>
    <xf numFmtId="0" fontId="26" fillId="0" borderId="11" xfId="0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18" fillId="3" borderId="9" xfId="0" applyFont="1" applyFill="1" applyBorder="1" applyAlignment="1">
      <alignment horizontal="center" vertical="top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18" fillId="3" borderId="10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16" fontId="7" fillId="3" borderId="14" xfId="0" applyNumberFormat="1" applyFont="1" applyFill="1" applyBorder="1" applyAlignment="1">
      <alignment horizontal="center"/>
    </xf>
    <xf numFmtId="16" fontId="7" fillId="3" borderId="5" xfId="0" applyNumberFormat="1" applyFont="1" applyFill="1" applyBorder="1" applyAlignment="1">
      <alignment horizontal="center"/>
    </xf>
    <xf numFmtId="0" fontId="27" fillId="3" borderId="1" xfId="0" applyFont="1" applyFill="1" applyBorder="1"/>
    <xf numFmtId="0" fontId="27" fillId="3" borderId="2" xfId="0" applyFont="1" applyFill="1" applyBorder="1"/>
    <xf numFmtId="0" fontId="14" fillId="3" borderId="9" xfId="0" quotePrefix="1" applyFont="1" applyFill="1" applyBorder="1"/>
    <xf numFmtId="0" fontId="14" fillId="3" borderId="9" xfId="0" applyFont="1" applyFill="1" applyBorder="1"/>
    <xf numFmtId="0" fontId="14" fillId="0" borderId="0" xfId="0" applyFont="1"/>
    <xf numFmtId="0" fontId="14" fillId="0" borderId="6" xfId="0" applyFont="1" applyBorder="1"/>
    <xf numFmtId="0" fontId="14" fillId="3" borderId="6" xfId="0" quotePrefix="1" applyFont="1" applyFill="1" applyBorder="1"/>
    <xf numFmtId="164" fontId="7" fillId="3" borderId="0" xfId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167" fontId="7" fillId="3" borderId="15" xfId="1" applyNumberFormat="1" applyFont="1" applyFill="1" applyBorder="1" applyAlignment="1">
      <alignment horizontal="center"/>
    </xf>
    <xf numFmtId="167" fontId="7" fillId="3" borderId="15" xfId="1" quotePrefix="1" applyNumberFormat="1" applyFont="1" applyFill="1" applyBorder="1" applyAlignment="1">
      <alignment horizontal="center"/>
    </xf>
    <xf numFmtId="164" fontId="7" fillId="3" borderId="15" xfId="1" quotePrefix="1" applyFont="1" applyFill="1" applyBorder="1"/>
    <xf numFmtId="168" fontId="14" fillId="0" borderId="0" xfId="0" applyNumberFormat="1" applyFont="1"/>
    <xf numFmtId="164" fontId="14" fillId="0" borderId="0" xfId="0" applyNumberFormat="1" applyFont="1"/>
    <xf numFmtId="0" fontId="14" fillId="0" borderId="0" xfId="4" applyFont="1" applyAlignment="1">
      <alignment horizontal="left"/>
    </xf>
    <xf numFmtId="0" fontId="7" fillId="3" borderId="8" xfId="0" applyFont="1" applyFill="1" applyBorder="1" applyAlignment="1">
      <alignment horizontal="center" vertical="center" wrapText="1"/>
    </xf>
    <xf numFmtId="164" fontId="7" fillId="3" borderId="0" xfId="1" applyFont="1" applyFill="1" applyBorder="1" applyAlignment="1">
      <alignment horizontal="left"/>
    </xf>
    <xf numFmtId="166" fontId="7" fillId="3" borderId="0" xfId="1" applyNumberFormat="1" applyFont="1" applyFill="1" applyAlignment="1">
      <alignment horizontal="center"/>
    </xf>
    <xf numFmtId="0" fontId="7" fillId="3" borderId="6" xfId="0" quotePrefix="1" applyFont="1" applyFill="1" applyBorder="1"/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/>
    </xf>
    <xf numFmtId="164" fontId="7" fillId="3" borderId="14" xfId="1" applyFont="1" applyFill="1" applyBorder="1" applyAlignment="1">
      <alignment horizontal="left"/>
    </xf>
    <xf numFmtId="164" fontId="7" fillId="3" borderId="5" xfId="1" applyFont="1" applyFill="1" applyBorder="1" applyAlignment="1">
      <alignment horizontal="left"/>
    </xf>
    <xf numFmtId="166" fontId="7" fillId="3" borderId="5" xfId="1" applyNumberFormat="1" applyFont="1" applyFill="1" applyBorder="1" applyAlignment="1">
      <alignment horizontal="center"/>
    </xf>
    <xf numFmtId="1" fontId="7" fillId="3" borderId="5" xfId="1" applyNumberFormat="1" applyFont="1" applyFill="1" applyBorder="1" applyAlignment="1">
      <alignment horizontal="center"/>
    </xf>
    <xf numFmtId="167" fontId="7" fillId="3" borderId="8" xfId="1" applyNumberFormat="1" applyFont="1" applyFill="1" applyBorder="1" applyAlignment="1">
      <alignment horizontal="center"/>
    </xf>
    <xf numFmtId="164" fontId="7" fillId="3" borderId="8" xfId="0" applyNumberFormat="1" applyFont="1" applyFill="1" applyBorder="1" applyAlignment="1">
      <alignment horizontal="center"/>
    </xf>
    <xf numFmtId="164" fontId="14" fillId="3" borderId="14" xfId="1" quotePrefix="1" applyFont="1" applyFill="1" applyBorder="1" applyAlignment="1">
      <alignment horizontal="center"/>
    </xf>
    <xf numFmtId="164" fontId="7" fillId="3" borderId="8" xfId="1" quotePrefix="1" applyFont="1" applyFill="1" applyBorder="1"/>
    <xf numFmtId="0" fontId="14" fillId="3" borderId="0" xfId="0" applyFont="1" applyFill="1" applyAlignment="1">
      <alignment horizontal="center"/>
    </xf>
    <xf numFmtId="0" fontId="14" fillId="3" borderId="0" xfId="0" applyFont="1" applyFill="1"/>
    <xf numFmtId="168" fontId="14" fillId="3" borderId="15" xfId="0" quotePrefix="1" applyNumberFormat="1" applyFont="1" applyFill="1" applyBorder="1" applyAlignment="1">
      <alignment horizontal="center"/>
    </xf>
    <xf numFmtId="0" fontId="14" fillId="3" borderId="0" xfId="0" quotePrefix="1" applyFont="1" applyFill="1"/>
    <xf numFmtId="10" fontId="14" fillId="3" borderId="6" xfId="2" quotePrefix="1" applyNumberFormat="1" applyFont="1" applyFill="1" applyBorder="1" applyAlignment="1">
      <alignment horizontal="right"/>
    </xf>
    <xf numFmtId="164" fontId="14" fillId="3" borderId="9" xfId="1" quotePrefix="1" applyFont="1" applyFill="1" applyBorder="1"/>
    <xf numFmtId="164" fontId="14" fillId="3" borderId="15" xfId="1" quotePrefix="1" applyFont="1" applyFill="1" applyBorder="1"/>
    <xf numFmtId="0" fontId="14" fillId="0" borderId="0" xfId="0" applyFont="1" applyAlignment="1">
      <alignment horizontal="center"/>
    </xf>
    <xf numFmtId="0" fontId="7" fillId="3" borderId="6" xfId="0" applyFont="1" applyFill="1" applyBorder="1"/>
    <xf numFmtId="10" fontId="14" fillId="3" borderId="6" xfId="1" quotePrefix="1" applyNumberFormat="1" applyFont="1" applyFill="1" applyBorder="1" applyAlignment="1">
      <alignment horizontal="center"/>
    </xf>
    <xf numFmtId="164" fontId="28" fillId="0" borderId="0" xfId="0" applyNumberFormat="1" applyFont="1" applyAlignment="1">
      <alignment horizontal="center"/>
    </xf>
    <xf numFmtId="0" fontId="28" fillId="0" borderId="0" xfId="0" applyFont="1"/>
    <xf numFmtId="0" fontId="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168" fontId="1" fillId="0" borderId="15" xfId="0" quotePrefix="1" applyNumberFormat="1" applyFont="1" applyBorder="1" applyAlignment="1">
      <alignment horizontal="center"/>
    </xf>
    <xf numFmtId="0" fontId="30" fillId="0" borderId="0" xfId="0" quotePrefix="1" applyFont="1"/>
    <xf numFmtId="0" fontId="8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168" fontId="1" fillId="4" borderId="15" xfId="0" quotePrefix="1" applyNumberFormat="1" applyFont="1" applyFill="1" applyBorder="1" applyAlignment="1">
      <alignment horizontal="center"/>
    </xf>
    <xf numFmtId="167" fontId="14" fillId="3" borderId="15" xfId="1" quotePrefix="1" applyNumberFormat="1" applyFont="1" applyFill="1" applyBorder="1"/>
    <xf numFmtId="0" fontId="28" fillId="0" borderId="0" xfId="0" applyFont="1" applyAlignment="1">
      <alignment horizontal="center"/>
    </xf>
    <xf numFmtId="164" fontId="10" fillId="6" borderId="6" xfId="1" applyFont="1" applyFill="1" applyBorder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3" fillId="3" borderId="15" xfId="0" applyFont="1" applyFill="1" applyBorder="1"/>
    <xf numFmtId="2" fontId="3" fillId="3" borderId="15" xfId="0" quotePrefix="1" applyNumberFormat="1" applyFont="1" applyFill="1" applyBorder="1" applyAlignment="1">
      <alignment horizontal="center"/>
    </xf>
    <xf numFmtId="164" fontId="3" fillId="3" borderId="15" xfId="1" applyFont="1" applyFill="1" applyBorder="1" applyAlignment="1">
      <alignment horizontal="right"/>
    </xf>
    <xf numFmtId="40" fontId="3" fillId="3" borderId="1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6" borderId="0" xfId="0" quotePrefix="1" applyFont="1" applyFill="1" applyAlignment="1">
      <alignment horizontal="center"/>
    </xf>
    <xf numFmtId="164" fontId="3" fillId="6" borderId="0" xfId="1" applyFont="1" applyFill="1"/>
    <xf numFmtId="164" fontId="3" fillId="3" borderId="0" xfId="1" applyFont="1" applyFill="1"/>
    <xf numFmtId="168" fontId="3" fillId="3" borderId="15" xfId="0" quotePrefix="1" applyNumberFormat="1" applyFont="1" applyFill="1" applyBorder="1" applyAlignment="1">
      <alignment horizontal="center"/>
    </xf>
    <xf numFmtId="0" fontId="3" fillId="3" borderId="0" xfId="0" quotePrefix="1" applyFont="1" applyFill="1" applyAlignment="1">
      <alignment horizontal="center"/>
    </xf>
    <xf numFmtId="38" fontId="3" fillId="0" borderId="0" xfId="0" applyNumberFormat="1" applyFont="1"/>
    <xf numFmtId="0" fontId="10" fillId="6" borderId="0" xfId="0" applyFont="1" applyFill="1" applyAlignment="1">
      <alignment horizontal="left"/>
    </xf>
    <xf numFmtId="164" fontId="10" fillId="3" borderId="6" xfId="1" applyFont="1" applyFill="1" applyBorder="1"/>
    <xf numFmtId="40" fontId="3" fillId="3" borderId="10" xfId="0" applyNumberFormat="1" applyFont="1" applyFill="1" applyBorder="1" applyAlignment="1">
      <alignment horizontal="right"/>
    </xf>
    <xf numFmtId="0" fontId="8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8" fillId="3" borderId="3" xfId="0" applyFont="1" applyFill="1" applyBorder="1" applyAlignment="1">
      <alignment horizontal="right"/>
    </xf>
    <xf numFmtId="169" fontId="3" fillId="5" borderId="0" xfId="0" applyNumberFormat="1" applyFont="1" applyFill="1"/>
    <xf numFmtId="164" fontId="3" fillId="0" borderId="0" xfId="0" applyNumberFormat="1" applyFont="1"/>
    <xf numFmtId="43" fontId="3" fillId="0" borderId="0" xfId="0" applyNumberFormat="1" applyFont="1"/>
    <xf numFmtId="0" fontId="10" fillId="7" borderId="8" xfId="0" applyFont="1" applyFill="1" applyBorder="1" applyAlignment="1">
      <alignment horizontal="center"/>
    </xf>
    <xf numFmtId="164" fontId="10" fillId="7" borderId="14" xfId="1" applyFont="1" applyFill="1" applyBorder="1" applyAlignment="1">
      <alignment horizontal="left"/>
    </xf>
    <xf numFmtId="164" fontId="10" fillId="7" borderId="4" xfId="1" applyFont="1" applyFill="1" applyBorder="1" applyAlignment="1">
      <alignment horizontal="left"/>
    </xf>
    <xf numFmtId="164" fontId="10" fillId="7" borderId="5" xfId="1" applyFont="1" applyFill="1" applyBorder="1" applyAlignment="1">
      <alignment horizontal="left"/>
    </xf>
    <xf numFmtId="164" fontId="10" fillId="7" borderId="8" xfId="1" applyFont="1" applyFill="1" applyBorder="1"/>
    <xf numFmtId="0" fontId="10" fillId="5" borderId="1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164" fontId="3" fillId="0" borderId="0" xfId="1" applyFont="1" applyFill="1" applyBorder="1"/>
    <xf numFmtId="0" fontId="29" fillId="8" borderId="14" xfId="0" applyFont="1" applyFill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/>
    <xf numFmtId="0" fontId="34" fillId="3" borderId="6" xfId="0" applyFont="1" applyFill="1" applyBorder="1"/>
    <xf numFmtId="0" fontId="10" fillId="3" borderId="0" xfId="0" applyFont="1" applyFill="1" applyAlignment="1">
      <alignment horizontal="left" wrapText="1"/>
    </xf>
    <xf numFmtId="0" fontId="8" fillId="3" borderId="0" xfId="4" applyFont="1" applyFill="1" applyAlignment="1">
      <alignment vertical="center" wrapText="1"/>
    </xf>
    <xf numFmtId="0" fontId="10" fillId="3" borderId="1" xfId="0" applyFont="1" applyFill="1" applyBorder="1" applyAlignment="1">
      <alignment horizontal="left" wrapText="1"/>
    </xf>
    <xf numFmtId="0" fontId="10" fillId="3" borderId="2" xfId="0" applyFont="1" applyFill="1" applyBorder="1" applyAlignment="1">
      <alignment horizontal="left" wrapText="1"/>
    </xf>
    <xf numFmtId="0" fontId="10" fillId="3" borderId="3" xfId="0" applyFont="1" applyFill="1" applyBorder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8" fillId="3" borderId="6" xfId="0" applyFont="1" applyFill="1" applyBorder="1"/>
    <xf numFmtId="0" fontId="7" fillId="3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8" fillId="3" borderId="13" xfId="0" applyFont="1" applyFill="1" applyBorder="1"/>
    <xf numFmtId="0" fontId="3" fillId="3" borderId="11" xfId="0" applyFont="1" applyFill="1" applyBorder="1"/>
    <xf numFmtId="0" fontId="8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2" fontId="14" fillId="3" borderId="0" xfId="0" applyNumberFormat="1" applyFont="1" applyFill="1" applyAlignment="1">
      <alignment horizontal="left"/>
    </xf>
  </cellXfs>
  <cellStyles count="5">
    <cellStyle name="Comma" xfId="1" builtinId="3"/>
    <cellStyle name="Normal" xfId="0" builtinId="0"/>
    <cellStyle name="Normal 2" xfId="4" xr:uid="{6B0200A1-362B-44E3-B703-FD7FC0FF8A13}"/>
    <cellStyle name="Normal 9 2 2 2" xfId="3" xr:uid="{DED97022-C777-4AF1-B8D3-374724D0DCC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9526</xdr:colOff>
      <xdr:row>0</xdr:row>
      <xdr:rowOff>76201</xdr:rowOff>
    </xdr:from>
    <xdr:to>
      <xdr:col>9</xdr:col>
      <xdr:colOff>1743075</xdr:colOff>
      <xdr:row>2</xdr:row>
      <xdr:rowOff>136351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E3FFF-82C4-45AA-93CB-23371D2ED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1" y="76201"/>
          <a:ext cx="2371724" cy="68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ESPL-2889-%20CIOT%20INC%20-%20DIRECT%20EXPORTS.xlsx" TargetMode="External"/><Relationship Id="rId1" Type="http://schemas.openxmlformats.org/officeDocument/2006/relationships/externalLinkPath" Target="PESPL-2889-%20CIOT%20INC%20-%20DIRECT%20EXPO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(R)"/>
      <sheetName val="Cust-Inv -INR"/>
      <sheetName val="Cust-Inv"/>
      <sheetName val="Cust-PL"/>
      <sheetName val="Invoice"/>
      <sheetName val="Packing List"/>
      <sheetName val="Measmt List"/>
      <sheetName val="PL"/>
      <sheetName val="Gatepass"/>
      <sheetName val="ANNEXURE –C1"/>
      <sheetName val="ANNEX –D"/>
      <sheetName val="VGM"/>
      <sheetName val="PI"/>
      <sheetName val="SOP"/>
    </sheetNames>
    <sheetDataSet>
      <sheetData sheetId="0"/>
      <sheetData sheetId="1">
        <row r="59">
          <cell r="J59">
            <v>1716501.6084162944</v>
          </cell>
        </row>
      </sheetData>
      <sheetData sheetId="2">
        <row r="59">
          <cell r="J59">
            <v>18348.493943519985</v>
          </cell>
        </row>
      </sheetData>
      <sheetData sheetId="3"/>
      <sheetData sheetId="4"/>
      <sheetData sheetId="5"/>
      <sheetData sheetId="6">
        <row r="72">
          <cell r="H72" t="str">
            <v>SQMT</v>
          </cell>
        </row>
        <row r="73">
          <cell r="B73" t="str">
            <v>VGWT10303A</v>
          </cell>
          <cell r="C73" t="str">
            <v>3CM</v>
          </cell>
          <cell r="D73">
            <v>47</v>
          </cell>
          <cell r="G73">
            <v>23300</v>
          </cell>
          <cell r="H73">
            <v>327.81089999999972</v>
          </cell>
        </row>
        <row r="75">
          <cell r="B75" t="str">
            <v>Free Trade Samples</v>
          </cell>
          <cell r="C75" t="str">
            <v>2CM</v>
          </cell>
          <cell r="G75">
            <v>200</v>
          </cell>
          <cell r="H75">
            <v>4.2580205623683884</v>
          </cell>
        </row>
        <row r="76">
          <cell r="B76" t="str">
            <v>4"X4"=100 &amp; 5"X10"=100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BB6A-9DA9-485C-8656-558FF091A984}">
  <sheetPr>
    <pageSetUpPr fitToPage="1"/>
  </sheetPr>
  <dimension ref="A1:T69"/>
  <sheetViews>
    <sheetView showGridLines="0" tabSelected="1" zoomScaleNormal="100" workbookViewId="0">
      <selection activeCell="C20" sqref="C20"/>
    </sheetView>
  </sheetViews>
  <sheetFormatPr defaultColWidth="9.28515625" defaultRowHeight="12.75" x14ac:dyDescent="0.2"/>
  <cols>
    <col min="1" max="1" width="10.28515625" style="2" customWidth="1"/>
    <col min="2" max="2" width="13.5703125" style="2" customWidth="1"/>
    <col min="3" max="3" width="18.7109375" style="2" customWidth="1"/>
    <col min="4" max="4" width="6.42578125" style="2" customWidth="1"/>
    <col min="5" max="5" width="8" style="2" bestFit="1" customWidth="1"/>
    <col min="6" max="6" width="8.140625" style="2" customWidth="1"/>
    <col min="7" max="7" width="16.140625" style="2" customWidth="1"/>
    <col min="8" max="8" width="13.42578125" style="2" customWidth="1"/>
    <col min="9" max="9" width="9.5703125" style="2" customWidth="1"/>
    <col min="10" max="10" width="27" style="2" customWidth="1"/>
    <col min="11" max="11" width="19.5703125" style="2" bestFit="1" customWidth="1"/>
    <col min="12" max="12" width="12.28515625" style="2" customWidth="1"/>
    <col min="13" max="13" width="14.42578125" style="2" customWidth="1"/>
    <col min="14" max="14" width="11.28515625" style="2" bestFit="1" customWidth="1"/>
    <col min="15" max="15" width="15" style="2" bestFit="1" customWidth="1"/>
    <col min="16" max="16384" width="9.28515625" style="2"/>
  </cols>
  <sheetData>
    <row r="1" spans="1:16" ht="13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ht="36" x14ac:dyDescent="0.55000000000000004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5"/>
      <c r="K2" s="6"/>
    </row>
    <row r="3" spans="1:16" s="9" customFormat="1" ht="15" x14ac:dyDescent="0.2">
      <c r="A3" s="3"/>
      <c r="B3" s="7" t="s">
        <v>3</v>
      </c>
      <c r="C3" s="7"/>
      <c r="D3" s="7"/>
      <c r="E3" s="7"/>
      <c r="F3" s="7"/>
      <c r="G3" s="7"/>
      <c r="H3" s="7"/>
      <c r="I3" s="7"/>
      <c r="J3" s="5"/>
      <c r="K3" s="8"/>
    </row>
    <row r="4" spans="1:16" ht="18" customHeight="1" x14ac:dyDescent="0.2">
      <c r="A4" s="10" t="s">
        <v>4</v>
      </c>
      <c r="B4" s="11"/>
      <c r="C4" s="11"/>
      <c r="D4" s="12"/>
      <c r="E4" s="12"/>
      <c r="F4" s="13"/>
      <c r="G4" s="14" t="s">
        <v>5</v>
      </c>
      <c r="H4" s="15" t="s">
        <v>6</v>
      </c>
      <c r="I4" s="16" t="s">
        <v>7</v>
      </c>
      <c r="J4" s="17">
        <v>46277</v>
      </c>
    </row>
    <row r="5" spans="1:16" ht="18.75" x14ac:dyDescent="0.3">
      <c r="A5" s="18" t="s">
        <v>8</v>
      </c>
      <c r="B5" s="19"/>
      <c r="C5" s="19"/>
      <c r="D5" s="20"/>
      <c r="E5" s="20"/>
      <c r="F5" s="21"/>
      <c r="G5" s="22" t="s">
        <v>9</v>
      </c>
      <c r="H5" s="23" t="s">
        <v>10</v>
      </c>
      <c r="I5" s="24"/>
      <c r="J5" s="25"/>
    </row>
    <row r="6" spans="1:16" ht="14.1" customHeight="1" x14ac:dyDescent="0.25">
      <c r="A6" s="26" t="s">
        <v>11</v>
      </c>
      <c r="B6" s="27"/>
      <c r="C6" s="27"/>
      <c r="D6" s="28"/>
      <c r="E6" s="28"/>
      <c r="F6" s="29"/>
      <c r="G6" s="30" t="s">
        <v>12</v>
      </c>
      <c r="H6" s="31" t="s">
        <v>13</v>
      </c>
      <c r="I6" s="31"/>
      <c r="J6" s="32"/>
      <c r="L6" s="33"/>
      <c r="M6" s="33"/>
      <c r="N6" s="33"/>
      <c r="O6" s="33"/>
    </row>
    <row r="7" spans="1:16" ht="14.1" customHeight="1" x14ac:dyDescent="0.25">
      <c r="A7" s="26" t="s">
        <v>14</v>
      </c>
      <c r="B7" s="27"/>
      <c r="C7" s="27"/>
      <c r="D7" s="28"/>
      <c r="E7" s="28"/>
      <c r="F7" s="29"/>
      <c r="G7" s="30" t="s">
        <v>15</v>
      </c>
      <c r="H7" s="34"/>
      <c r="I7" s="34"/>
      <c r="J7" s="35" t="s">
        <v>16</v>
      </c>
      <c r="L7" s="33"/>
      <c r="M7" s="33"/>
      <c r="N7" s="33"/>
      <c r="O7" s="33"/>
    </row>
    <row r="8" spans="1:16" ht="14.1" customHeight="1" x14ac:dyDescent="0.25">
      <c r="A8" s="36" t="s">
        <v>17</v>
      </c>
      <c r="B8" s="37"/>
      <c r="C8" s="38" t="s">
        <v>18</v>
      </c>
      <c r="D8" s="28"/>
      <c r="E8" s="28"/>
      <c r="F8" s="29"/>
      <c r="G8" s="39"/>
      <c r="H8" s="40"/>
      <c r="I8" s="41"/>
      <c r="J8" s="42" t="s">
        <v>19</v>
      </c>
      <c r="K8" s="43" t="s">
        <v>20</v>
      </c>
      <c r="L8" s="44"/>
      <c r="M8" s="43" t="s">
        <v>21</v>
      </c>
      <c r="N8" s="44"/>
      <c r="O8" s="44"/>
    </row>
    <row r="9" spans="1:16" ht="14.1" customHeight="1" x14ac:dyDescent="0.25">
      <c r="A9" s="45" t="s">
        <v>22</v>
      </c>
      <c r="B9" s="37"/>
      <c r="C9" s="46" t="s">
        <v>23</v>
      </c>
      <c r="D9" s="28"/>
      <c r="E9" s="28"/>
      <c r="F9" s="29"/>
      <c r="G9" s="47"/>
      <c r="H9" s="48"/>
      <c r="I9" s="48"/>
      <c r="J9" s="49"/>
      <c r="K9" s="36" t="s">
        <v>24</v>
      </c>
      <c r="L9" s="44"/>
      <c r="M9" s="36" t="s">
        <v>25</v>
      </c>
      <c r="N9" s="44"/>
      <c r="O9" s="44"/>
    </row>
    <row r="10" spans="1:16" ht="14.1" customHeight="1" x14ac:dyDescent="0.25">
      <c r="A10" s="50"/>
      <c r="B10" s="51"/>
      <c r="C10" s="51"/>
      <c r="D10" s="52"/>
      <c r="E10" s="52"/>
      <c r="F10" s="53"/>
      <c r="G10" s="54" t="s">
        <v>26</v>
      </c>
      <c r="H10" s="55"/>
      <c r="I10" s="55"/>
      <c r="J10" s="56"/>
      <c r="K10" s="36" t="s">
        <v>27</v>
      </c>
      <c r="L10" s="44"/>
      <c r="M10" s="36" t="s">
        <v>28</v>
      </c>
      <c r="N10" s="44"/>
      <c r="O10" s="44"/>
    </row>
    <row r="11" spans="1:16" ht="24" customHeight="1" x14ac:dyDescent="0.25">
      <c r="A11" s="10" t="s">
        <v>29</v>
      </c>
      <c r="B11" s="57"/>
      <c r="C11" s="57"/>
      <c r="D11" s="12"/>
      <c r="E11" s="12"/>
      <c r="F11" s="13"/>
      <c r="G11" s="58" t="s">
        <v>30</v>
      </c>
      <c r="H11" s="58"/>
      <c r="I11" s="58"/>
      <c r="J11" s="58"/>
      <c r="K11" s="36" t="s">
        <v>31</v>
      </c>
      <c r="L11" s="59"/>
      <c r="M11" s="36" t="s">
        <v>31</v>
      </c>
    </row>
    <row r="12" spans="1:16" ht="18.75" x14ac:dyDescent="0.3">
      <c r="A12" s="60" t="str">
        <f t="shared" ref="A12" si="0">+K8</f>
        <v>Ciot Inc</v>
      </c>
      <c r="B12" s="61"/>
      <c r="C12" s="27"/>
      <c r="D12" s="62"/>
      <c r="E12" s="63"/>
      <c r="F12" s="64"/>
      <c r="G12" s="58"/>
      <c r="H12" s="58"/>
      <c r="I12" s="58"/>
      <c r="J12" s="58"/>
      <c r="K12" s="36" t="s">
        <v>32</v>
      </c>
      <c r="L12" s="65"/>
      <c r="M12" s="66"/>
      <c r="N12" s="66"/>
      <c r="O12" s="66"/>
      <c r="P12" s="66"/>
    </row>
    <row r="13" spans="1:16" ht="14.1" customHeight="1" x14ac:dyDescent="0.25">
      <c r="A13" s="36" t="str">
        <f>+K9</f>
        <v>9225 Boul Saint- Laurent</v>
      </c>
      <c r="B13" s="61"/>
      <c r="C13" s="27"/>
      <c r="D13" s="62"/>
      <c r="E13" s="63"/>
      <c r="F13" s="67"/>
      <c r="G13" s="57" t="s">
        <v>33</v>
      </c>
      <c r="H13" s="68"/>
      <c r="I13" s="68"/>
      <c r="J13" s="69"/>
      <c r="K13" s="36"/>
      <c r="L13" s="70"/>
      <c r="M13" s="43" t="s">
        <v>34</v>
      </c>
      <c r="N13" s="66"/>
      <c r="O13" s="71"/>
      <c r="P13" s="71"/>
    </row>
    <row r="14" spans="1:16" ht="14.1" customHeight="1" x14ac:dyDescent="0.25">
      <c r="A14" s="36" t="str">
        <f>+K10</f>
        <v>Montreal, QC H2N 1N2</v>
      </c>
      <c r="B14" s="61"/>
      <c r="C14" s="27"/>
      <c r="D14" s="63"/>
      <c r="E14" s="63"/>
      <c r="F14" s="67"/>
      <c r="G14" s="72"/>
      <c r="H14" s="73"/>
      <c r="I14" s="73"/>
      <c r="J14" s="74"/>
      <c r="L14" s="70"/>
      <c r="M14" s="36" t="s">
        <v>35</v>
      </c>
      <c r="N14" s="66"/>
      <c r="O14" s="71"/>
      <c r="P14" s="71"/>
    </row>
    <row r="15" spans="1:16" ht="14.1" customHeight="1" x14ac:dyDescent="0.25">
      <c r="A15" s="36" t="str">
        <f>+K11</f>
        <v>Canada</v>
      </c>
      <c r="B15" s="61"/>
      <c r="C15" s="27"/>
      <c r="D15" s="63"/>
      <c r="E15" s="63"/>
      <c r="F15" s="67"/>
      <c r="G15" s="75"/>
      <c r="H15" s="76"/>
      <c r="I15" s="76"/>
      <c r="J15" s="77"/>
      <c r="L15" s="70"/>
      <c r="M15" s="36" t="s">
        <v>36</v>
      </c>
      <c r="N15" s="66"/>
      <c r="O15" s="66"/>
      <c r="P15" s="66"/>
    </row>
    <row r="16" spans="1:16" ht="14.1" customHeight="1" x14ac:dyDescent="0.3">
      <c r="A16" s="36" t="str">
        <f>+K12</f>
        <v>Tel: 514 389 6540</v>
      </c>
      <c r="B16" s="61"/>
      <c r="C16" s="27"/>
      <c r="D16" s="63"/>
      <c r="E16" s="63"/>
      <c r="F16" s="67"/>
      <c r="G16" s="75"/>
      <c r="H16" s="76"/>
      <c r="I16" s="76"/>
      <c r="J16" s="77"/>
      <c r="K16" s="60" t="s">
        <v>37</v>
      </c>
      <c r="L16" s="70"/>
      <c r="M16" s="36" t="s">
        <v>31</v>
      </c>
      <c r="N16" s="78"/>
      <c r="O16" s="78"/>
      <c r="P16" s="78"/>
    </row>
    <row r="17" spans="1:15" ht="14.1" customHeight="1" x14ac:dyDescent="0.25">
      <c r="A17" s="36"/>
      <c r="B17" s="79"/>
      <c r="C17" s="27"/>
      <c r="D17" s="80"/>
      <c r="E17" s="80"/>
      <c r="F17" s="81"/>
      <c r="G17" s="75"/>
      <c r="H17" s="82"/>
      <c r="I17" s="83"/>
      <c r="J17" s="84"/>
      <c r="K17" s="36" t="s">
        <v>38</v>
      </c>
      <c r="L17" s="70"/>
    </row>
    <row r="18" spans="1:15" ht="14.1" customHeight="1" x14ac:dyDescent="0.25">
      <c r="A18" s="10" t="s">
        <v>39</v>
      </c>
      <c r="B18" s="27"/>
      <c r="C18" s="85"/>
      <c r="D18" s="63"/>
      <c r="E18" s="63"/>
      <c r="F18" s="63"/>
      <c r="G18" s="86" t="s">
        <v>40</v>
      </c>
      <c r="H18" s="87"/>
      <c r="I18" s="86" t="s">
        <v>41</v>
      </c>
      <c r="J18" s="87"/>
      <c r="K18" s="36" t="s">
        <v>27</v>
      </c>
      <c r="O18" s="88">
        <f>+N18*83</f>
        <v>0</v>
      </c>
    </row>
    <row r="19" spans="1:15" ht="18.75" x14ac:dyDescent="0.3">
      <c r="A19" s="60" t="str">
        <f>+K16</f>
        <v>Naturoc Division DE Ciot</v>
      </c>
      <c r="B19" s="63"/>
      <c r="C19" s="63"/>
      <c r="D19" s="63"/>
      <c r="E19" s="63"/>
      <c r="F19" s="63"/>
      <c r="G19" s="89" t="s">
        <v>42</v>
      </c>
      <c r="H19" s="90"/>
      <c r="I19" s="89" t="s">
        <v>43</v>
      </c>
      <c r="J19" s="90"/>
      <c r="K19" s="36" t="s">
        <v>31</v>
      </c>
    </row>
    <row r="20" spans="1:15" ht="14.1" customHeight="1" x14ac:dyDescent="0.25">
      <c r="A20" s="36" t="str">
        <f>+A13</f>
        <v>9225 Boul Saint- Laurent</v>
      </c>
      <c r="B20" s="63"/>
      <c r="C20" s="63"/>
      <c r="D20" s="63"/>
      <c r="E20" s="63"/>
      <c r="F20" s="63"/>
      <c r="G20" s="91" t="s">
        <v>44</v>
      </c>
      <c r="H20" s="92"/>
      <c r="I20" s="92"/>
      <c r="J20" s="93"/>
      <c r="K20" s="36" t="s">
        <v>32</v>
      </c>
    </row>
    <row r="21" spans="1:15" ht="14.1" customHeight="1" x14ac:dyDescent="0.3">
      <c r="A21" s="36" t="str">
        <f>+A14</f>
        <v>Montreal, QC H2N 1N2</v>
      </c>
      <c r="B21" s="63"/>
      <c r="C21" s="63"/>
      <c r="D21" s="63"/>
      <c r="E21" s="63"/>
      <c r="F21" s="63"/>
      <c r="G21" s="94" t="s">
        <v>45</v>
      </c>
      <c r="H21" s="95" t="s">
        <v>46</v>
      </c>
      <c r="I21" s="95"/>
      <c r="J21" s="96"/>
      <c r="K21" s="97"/>
      <c r="L21" s="98"/>
      <c r="M21" s="98"/>
      <c r="N21" s="99" t="s">
        <v>47</v>
      </c>
    </row>
    <row r="22" spans="1:15" ht="14.1" customHeight="1" x14ac:dyDescent="0.3">
      <c r="A22" s="36" t="str">
        <f>+A15</f>
        <v>Canada</v>
      </c>
      <c r="B22" s="63"/>
      <c r="C22" s="63"/>
      <c r="D22" s="63"/>
      <c r="E22" s="63"/>
      <c r="F22" s="63"/>
      <c r="G22" s="100" t="s">
        <v>48</v>
      </c>
      <c r="H22" s="100"/>
      <c r="I22" s="100"/>
      <c r="J22" s="100"/>
      <c r="K22" s="60" t="s">
        <v>49</v>
      </c>
      <c r="L22" s="98"/>
      <c r="M22" s="98"/>
      <c r="N22" s="101" t="s">
        <v>50</v>
      </c>
    </row>
    <row r="23" spans="1:15" ht="14.1" customHeight="1" x14ac:dyDescent="0.3">
      <c r="A23" s="36" t="str">
        <f>+A16</f>
        <v>Tel: 514 389 6540</v>
      </c>
      <c r="B23" s="63"/>
      <c r="C23" s="63"/>
      <c r="D23" s="63"/>
      <c r="E23" s="63"/>
      <c r="F23" s="63"/>
      <c r="G23" s="100"/>
      <c r="H23" s="100"/>
      <c r="I23" s="100"/>
      <c r="J23" s="100"/>
      <c r="K23" s="36" t="s">
        <v>51</v>
      </c>
      <c r="L23" s="98"/>
      <c r="M23" s="98"/>
      <c r="N23" s="101" t="s">
        <v>52</v>
      </c>
    </row>
    <row r="24" spans="1:15" ht="15.75" x14ac:dyDescent="0.3">
      <c r="A24" s="36"/>
      <c r="B24" s="63"/>
      <c r="C24" s="63"/>
      <c r="D24" s="63"/>
      <c r="E24" s="63"/>
      <c r="F24" s="63"/>
      <c r="G24" s="100"/>
      <c r="H24" s="100"/>
      <c r="I24" s="100"/>
      <c r="J24" s="100"/>
      <c r="K24" s="36" t="s">
        <v>53</v>
      </c>
      <c r="L24" s="98"/>
      <c r="M24" s="98"/>
      <c r="N24" s="101" t="s">
        <v>54</v>
      </c>
    </row>
    <row r="25" spans="1:15" ht="14.25" customHeight="1" x14ac:dyDescent="0.25">
      <c r="A25" s="36"/>
      <c r="B25" s="63"/>
      <c r="C25" s="63"/>
      <c r="D25" s="63"/>
      <c r="E25" s="63"/>
      <c r="F25" s="63"/>
      <c r="G25" s="94" t="s">
        <v>55</v>
      </c>
      <c r="H25" s="95" t="s">
        <v>56</v>
      </c>
      <c r="I25" s="102"/>
      <c r="J25" s="103"/>
      <c r="K25" s="36" t="s">
        <v>57</v>
      </c>
      <c r="L25" s="104"/>
      <c r="M25" s="104"/>
      <c r="N25" s="105" t="s">
        <v>58</v>
      </c>
      <c r="O25" s="104"/>
    </row>
    <row r="26" spans="1:15" ht="14.1" customHeight="1" x14ac:dyDescent="0.25">
      <c r="A26" s="36"/>
      <c r="B26" s="63"/>
      <c r="C26" s="63"/>
      <c r="D26" s="63"/>
      <c r="E26" s="63"/>
      <c r="F26" s="63"/>
      <c r="G26" s="94" t="s">
        <v>59</v>
      </c>
      <c r="H26" s="28"/>
      <c r="I26" s="102"/>
      <c r="J26" s="103"/>
      <c r="K26" s="36" t="s">
        <v>31</v>
      </c>
      <c r="L26" s="106"/>
      <c r="M26" s="106"/>
      <c r="N26" s="107" t="s">
        <v>60</v>
      </c>
      <c r="O26" s="108"/>
    </row>
    <row r="27" spans="1:15" ht="14.1" customHeight="1" x14ac:dyDescent="0.25">
      <c r="A27" s="36"/>
      <c r="B27" s="63"/>
      <c r="C27" s="63"/>
      <c r="D27" s="63"/>
      <c r="E27" s="63"/>
      <c r="F27" s="63"/>
      <c r="G27" s="109" t="s">
        <v>61</v>
      </c>
      <c r="H27" s="28"/>
      <c r="I27" s="95"/>
      <c r="J27" s="96"/>
      <c r="L27" s="106"/>
      <c r="M27" s="106"/>
      <c r="N27" s="107"/>
      <c r="O27" s="110"/>
    </row>
    <row r="28" spans="1:15" ht="14.1" customHeight="1" x14ac:dyDescent="0.25">
      <c r="A28" s="111" t="s">
        <v>62</v>
      </c>
      <c r="B28" s="112"/>
      <c r="C28" s="111" t="s">
        <v>63</v>
      </c>
      <c r="D28" s="113"/>
      <c r="E28" s="113"/>
      <c r="F28" s="113"/>
      <c r="G28" s="109" t="s">
        <v>64</v>
      </c>
      <c r="H28" s="28"/>
      <c r="I28" s="102"/>
      <c r="J28" s="103"/>
      <c r="L28" s="106"/>
      <c r="M28" s="106"/>
      <c r="N28" s="107"/>
      <c r="O28" s="114"/>
    </row>
    <row r="29" spans="1:15" ht="14.1" customHeight="1" x14ac:dyDescent="0.3">
      <c r="A29" s="115" t="s">
        <v>65</v>
      </c>
      <c r="B29" s="116"/>
      <c r="C29" s="117" t="s">
        <v>66</v>
      </c>
      <c r="D29" s="118"/>
      <c r="E29" s="118"/>
      <c r="F29" s="118"/>
      <c r="G29" s="119" t="s">
        <v>67</v>
      </c>
      <c r="H29" s="120"/>
      <c r="I29" s="102"/>
      <c r="J29" s="103"/>
      <c r="K29" s="60" t="s">
        <v>68</v>
      </c>
      <c r="L29" s="110"/>
      <c r="M29" s="114"/>
      <c r="N29" s="121" t="s">
        <v>69</v>
      </c>
      <c r="O29" s="114"/>
    </row>
    <row r="30" spans="1:15" ht="14.1" customHeight="1" x14ac:dyDescent="0.25">
      <c r="A30" s="111" t="s">
        <v>70</v>
      </c>
      <c r="B30" s="112"/>
      <c r="C30" s="111" t="s">
        <v>71</v>
      </c>
      <c r="D30" s="113"/>
      <c r="E30" s="113"/>
      <c r="F30" s="113"/>
      <c r="G30" s="119" t="s">
        <v>72</v>
      </c>
      <c r="H30" s="122"/>
      <c r="I30" s="72" t="s">
        <v>73</v>
      </c>
      <c r="J30" s="103"/>
      <c r="K30" s="2" t="s">
        <v>74</v>
      </c>
      <c r="L30" s="123"/>
      <c r="M30" s="123"/>
      <c r="N30" s="107" t="s">
        <v>75</v>
      </c>
      <c r="O30" s="110"/>
    </row>
    <row r="31" spans="1:15" ht="14.1" customHeight="1" x14ac:dyDescent="0.25">
      <c r="A31" s="124"/>
      <c r="B31" s="125"/>
      <c r="C31" s="117" t="str">
        <f>+C29</f>
        <v>KATTUPALLI PORT, INDIA</v>
      </c>
      <c r="D31" s="118"/>
      <c r="E31" s="118"/>
      <c r="F31" s="118"/>
      <c r="G31" s="119" t="s">
        <v>76</v>
      </c>
      <c r="H31" s="122"/>
      <c r="I31" s="72" t="s">
        <v>77</v>
      </c>
      <c r="J31" s="103"/>
      <c r="K31" s="2" t="s">
        <v>78</v>
      </c>
      <c r="L31" s="123"/>
      <c r="M31" s="123"/>
      <c r="N31" s="107" t="s">
        <v>52</v>
      </c>
      <c r="O31" s="126"/>
    </row>
    <row r="32" spans="1:15" ht="14.1" customHeight="1" x14ac:dyDescent="0.25">
      <c r="A32" s="111" t="s">
        <v>79</v>
      </c>
      <c r="B32" s="112"/>
      <c r="C32" s="127" t="s">
        <v>80</v>
      </c>
      <c r="D32" s="128"/>
      <c r="E32" s="128"/>
      <c r="F32" s="128"/>
      <c r="G32" s="119" t="s">
        <v>81</v>
      </c>
      <c r="H32" s="122"/>
      <c r="I32" s="102"/>
      <c r="J32" s="103"/>
      <c r="K32" s="2" t="s">
        <v>31</v>
      </c>
      <c r="N32" s="101" t="s">
        <v>82</v>
      </c>
    </row>
    <row r="33" spans="1:14" ht="14.1" customHeight="1" x14ac:dyDescent="0.25">
      <c r="A33" s="129" t="s">
        <v>83</v>
      </c>
      <c r="B33" s="130"/>
      <c r="C33" s="117" t="str">
        <f>+A33</f>
        <v>MONTREAL, QC, CANADA</v>
      </c>
      <c r="D33" s="118"/>
      <c r="E33" s="118"/>
      <c r="F33" s="118"/>
      <c r="G33" s="131" t="s">
        <v>84</v>
      </c>
      <c r="H33" s="132"/>
      <c r="I33" s="133" t="s">
        <v>85</v>
      </c>
      <c r="J33" s="134"/>
      <c r="K33" s="2" t="s">
        <v>86</v>
      </c>
      <c r="N33" s="101" t="s">
        <v>58</v>
      </c>
    </row>
    <row r="34" spans="1:14" ht="14.1" customHeight="1" x14ac:dyDescent="0.3">
      <c r="A34" s="135" t="s">
        <v>87</v>
      </c>
      <c r="B34" s="135" t="s">
        <v>88</v>
      </c>
      <c r="C34" s="136" t="s">
        <v>89</v>
      </c>
      <c r="D34" s="137"/>
      <c r="E34" s="137"/>
      <c r="F34" s="138"/>
      <c r="G34" s="139" t="s">
        <v>90</v>
      </c>
      <c r="H34" s="139" t="s">
        <v>91</v>
      </c>
      <c r="I34" s="140" t="s">
        <v>92</v>
      </c>
      <c r="J34" s="141" t="s">
        <v>93</v>
      </c>
      <c r="K34" s="60" t="s">
        <v>94</v>
      </c>
      <c r="N34" s="101"/>
    </row>
    <row r="35" spans="1:14" ht="29.25" customHeight="1" x14ac:dyDescent="0.25">
      <c r="A35" s="142"/>
      <c r="B35" s="142"/>
      <c r="C35" s="143" t="s">
        <v>95</v>
      </c>
      <c r="D35" s="144" t="s">
        <v>96</v>
      </c>
      <c r="E35" s="143" t="s">
        <v>97</v>
      </c>
      <c r="F35" s="143" t="s">
        <v>98</v>
      </c>
      <c r="G35" s="145"/>
      <c r="H35" s="145"/>
      <c r="I35" s="146" t="s">
        <v>99</v>
      </c>
      <c r="J35" s="147" t="s">
        <v>100</v>
      </c>
      <c r="N35" s="99" t="s">
        <v>101</v>
      </c>
    </row>
    <row r="36" spans="1:14" s="154" customFormat="1" ht="14.1" customHeight="1" x14ac:dyDescent="0.3">
      <c r="A36" s="148" t="s">
        <v>102</v>
      </c>
      <c r="B36" s="149"/>
      <c r="C36" s="150" t="s">
        <v>103</v>
      </c>
      <c r="D36" s="151"/>
      <c r="E36" s="151"/>
      <c r="F36" s="151"/>
      <c r="G36" s="152"/>
      <c r="H36" s="152"/>
      <c r="I36" s="152" t="s">
        <v>104</v>
      </c>
      <c r="J36" s="153"/>
      <c r="K36" s="60" t="s">
        <v>105</v>
      </c>
      <c r="N36" s="155" t="s">
        <v>82</v>
      </c>
    </row>
    <row r="37" spans="1:14" s="154" customFormat="1" ht="14.1" customHeight="1" x14ac:dyDescent="0.25">
      <c r="A37" s="156"/>
      <c r="B37" s="157"/>
      <c r="C37" s="157"/>
      <c r="D37" s="157"/>
      <c r="E37" s="157"/>
      <c r="F37" s="158"/>
      <c r="G37" s="159"/>
      <c r="H37" s="157"/>
      <c r="I37" s="160"/>
      <c r="J37" s="161"/>
      <c r="K37" s="162" t="s">
        <v>106</v>
      </c>
      <c r="L37" s="163"/>
      <c r="M37" s="164"/>
    </row>
    <row r="38" spans="1:14" s="154" customFormat="1" ht="15" customHeight="1" x14ac:dyDescent="0.25">
      <c r="A38" s="140" t="s">
        <v>107</v>
      </c>
      <c r="B38" s="165" t="s">
        <v>108</v>
      </c>
      <c r="C38" s="166" t="str">
        <f>+'[1]Measmt List'!B73</f>
        <v>VGWT10303A</v>
      </c>
      <c r="D38" s="157" t="str">
        <f>+'[1]Measmt List'!C73</f>
        <v>3CM</v>
      </c>
      <c r="E38" s="167">
        <f>+'[1]Measmt List'!G73</f>
        <v>23300</v>
      </c>
      <c r="F38" s="158">
        <f>+'[1]Measmt List'!D73</f>
        <v>47</v>
      </c>
      <c r="G38" s="159">
        <f>+'[1]Measmt List'!H73</f>
        <v>327.81089999999972</v>
      </c>
      <c r="H38" s="157" t="str">
        <f>+'[1]Measmt List'!H72</f>
        <v>SQMT</v>
      </c>
      <c r="I38" s="160">
        <f>+L38*10.764</f>
        <v>55.972799999999999</v>
      </c>
      <c r="J38" s="161">
        <f>+G38*I38</f>
        <v>18348.493943519985</v>
      </c>
      <c r="K38" s="162" t="s">
        <v>109</v>
      </c>
      <c r="L38" s="163">
        <v>5.2</v>
      </c>
      <c r="M38" s="164"/>
    </row>
    <row r="39" spans="1:14" s="154" customFormat="1" ht="15" x14ac:dyDescent="0.25">
      <c r="A39" s="168"/>
      <c r="B39" s="165"/>
      <c r="C39" s="166"/>
      <c r="D39" s="157"/>
      <c r="E39" s="167"/>
      <c r="F39" s="158"/>
      <c r="G39" s="159"/>
      <c r="H39" s="157"/>
      <c r="I39" s="160"/>
      <c r="J39" s="161"/>
      <c r="K39" s="162" t="s">
        <v>110</v>
      </c>
      <c r="L39" s="163"/>
      <c r="M39" s="164"/>
    </row>
    <row r="40" spans="1:14" s="154" customFormat="1" ht="15" customHeight="1" x14ac:dyDescent="0.25">
      <c r="A40" s="168"/>
      <c r="B40" s="165"/>
      <c r="C40" s="166"/>
      <c r="D40" s="157"/>
      <c r="E40" s="167"/>
      <c r="F40" s="158"/>
      <c r="G40" s="159"/>
      <c r="H40" s="157"/>
      <c r="I40" s="160"/>
      <c r="J40" s="161"/>
      <c r="K40" s="162"/>
      <c r="L40" s="163"/>
      <c r="M40" s="164"/>
    </row>
    <row r="41" spans="1:14" s="154" customFormat="1" ht="15" customHeight="1" x14ac:dyDescent="0.25">
      <c r="A41" s="168"/>
      <c r="B41" s="169"/>
      <c r="C41" s="166"/>
      <c r="D41" s="157"/>
      <c r="E41" s="167"/>
      <c r="F41" s="158"/>
      <c r="G41" s="159"/>
      <c r="H41" s="157"/>
      <c r="I41" s="160"/>
      <c r="J41" s="161"/>
      <c r="K41" s="162"/>
      <c r="L41" s="163"/>
      <c r="M41" s="164"/>
    </row>
    <row r="42" spans="1:14" s="154" customFormat="1" ht="15" customHeight="1" x14ac:dyDescent="0.25">
      <c r="A42" s="168"/>
      <c r="B42" s="169"/>
      <c r="C42" s="166"/>
      <c r="D42" s="157"/>
      <c r="E42" s="167"/>
      <c r="F42" s="158"/>
      <c r="G42" s="159"/>
      <c r="H42" s="157"/>
      <c r="I42" s="160"/>
      <c r="J42" s="161"/>
      <c r="K42" s="162"/>
      <c r="L42" s="163"/>
      <c r="M42" s="164"/>
    </row>
    <row r="43" spans="1:14" s="154" customFormat="1" ht="15" x14ac:dyDescent="0.25">
      <c r="A43" s="168"/>
      <c r="B43" s="170"/>
      <c r="C43" s="166" t="str">
        <f>+'[1]Measmt List'!B75</f>
        <v>Free Trade Samples</v>
      </c>
      <c r="D43" s="157" t="str">
        <f>+'[1]Measmt List'!C75</f>
        <v>2CM</v>
      </c>
      <c r="E43" s="167">
        <f>+'[1]Measmt List'!G75</f>
        <v>200</v>
      </c>
      <c r="F43" s="158">
        <f>+'[1]Measmt List'!G75</f>
        <v>200</v>
      </c>
      <c r="G43" s="159">
        <f>+'[1]Measmt List'!H75</f>
        <v>4.2580205623683884</v>
      </c>
      <c r="H43" s="157" t="str">
        <f>+H38</f>
        <v>SQMT</v>
      </c>
      <c r="I43" s="160">
        <v>1</v>
      </c>
      <c r="J43" s="161">
        <f>G43*I43</f>
        <v>4.2580205623683884</v>
      </c>
      <c r="K43" s="162"/>
      <c r="L43" s="163"/>
      <c r="M43" s="164"/>
    </row>
    <row r="44" spans="1:14" s="154" customFormat="1" ht="15" x14ac:dyDescent="0.25">
      <c r="A44" s="168"/>
      <c r="B44" s="170"/>
      <c r="C44" s="166" t="str">
        <f>+'[1]Measmt List'!B76</f>
        <v>4"X4"=100 &amp; 5"X10"=100</v>
      </c>
      <c r="D44" s="157"/>
      <c r="E44" s="167"/>
      <c r="F44" s="158"/>
      <c r="G44" s="159"/>
      <c r="H44" s="157"/>
      <c r="I44" s="160"/>
      <c r="J44" s="161"/>
      <c r="K44" s="162"/>
      <c r="L44" s="163"/>
      <c r="M44" s="164"/>
    </row>
    <row r="45" spans="1:14" s="154" customFormat="1" ht="14.1" customHeight="1" x14ac:dyDescent="0.25">
      <c r="A45" s="156"/>
      <c r="B45" s="171"/>
      <c r="C45" s="172" t="s">
        <v>111</v>
      </c>
      <c r="D45" s="173"/>
      <c r="E45" s="174">
        <f>SUM(E38:E43)</f>
        <v>23500</v>
      </c>
      <c r="F45" s="175">
        <f>SUM(F37:F43)</f>
        <v>247</v>
      </c>
      <c r="G45" s="176">
        <f>SUM(G37:G43)</f>
        <v>332.06892056236813</v>
      </c>
      <c r="H45" s="177" t="str">
        <f>+H38</f>
        <v>SQMT</v>
      </c>
      <c r="I45" s="178"/>
      <c r="J45" s="179">
        <f>SUM(J36:J43)</f>
        <v>18352.751964082352</v>
      </c>
      <c r="K45" s="162"/>
      <c r="L45" s="163"/>
      <c r="M45" s="164"/>
    </row>
    <row r="46" spans="1:14" s="154" customFormat="1" ht="14.1" customHeight="1" x14ac:dyDescent="0.25">
      <c r="A46" s="156"/>
      <c r="B46" s="180"/>
      <c r="C46" s="181" t="s">
        <v>112</v>
      </c>
      <c r="D46" s="181"/>
      <c r="E46" s="181"/>
      <c r="F46" s="181"/>
      <c r="G46" s="182"/>
      <c r="H46" s="183"/>
      <c r="I46" s="184">
        <v>0</v>
      </c>
      <c r="J46" s="185"/>
      <c r="K46" s="163"/>
    </row>
    <row r="47" spans="1:14" s="154" customFormat="1" ht="14.1" customHeight="1" x14ac:dyDescent="0.25">
      <c r="A47" s="156"/>
      <c r="B47" s="180"/>
      <c r="C47" s="52" t="s">
        <v>113</v>
      </c>
      <c r="D47" s="95"/>
      <c r="E47" s="95"/>
      <c r="F47" s="95"/>
      <c r="G47" s="182"/>
      <c r="H47" s="183"/>
      <c r="I47" s="184">
        <v>0</v>
      </c>
      <c r="J47" s="186"/>
      <c r="M47" s="187"/>
      <c r="N47" s="187"/>
    </row>
    <row r="48" spans="1:14" s="154" customFormat="1" ht="14.1" customHeight="1" x14ac:dyDescent="0.25">
      <c r="A48" s="188"/>
      <c r="B48" s="180"/>
      <c r="C48" s="52" t="s">
        <v>114</v>
      </c>
      <c r="D48" s="95"/>
      <c r="E48" s="95"/>
      <c r="F48" s="95"/>
      <c r="G48" s="182"/>
      <c r="H48" s="183"/>
      <c r="I48" s="189"/>
      <c r="J48" s="186">
        <f>-J43</f>
        <v>-4.2580205623683884</v>
      </c>
      <c r="K48" s="190"/>
      <c r="L48" s="191"/>
      <c r="M48" s="190"/>
      <c r="N48" s="191"/>
    </row>
    <row r="49" spans="1:20" s="154" customFormat="1" ht="14.1" customHeight="1" x14ac:dyDescent="0.25">
      <c r="A49" s="188"/>
      <c r="B49" s="180"/>
      <c r="C49" s="192"/>
      <c r="D49" s="193"/>
      <c r="E49" s="193"/>
      <c r="F49" s="193"/>
      <c r="G49" s="194"/>
      <c r="H49" s="195"/>
      <c r="I49" s="189"/>
      <c r="J49" s="186"/>
      <c r="K49" s="190"/>
      <c r="L49" s="191"/>
      <c r="M49" s="190"/>
      <c r="N49" s="191"/>
    </row>
    <row r="50" spans="1:20" s="154" customFormat="1" ht="14.1" customHeight="1" x14ac:dyDescent="0.25">
      <c r="A50" s="188"/>
      <c r="B50" s="180"/>
      <c r="C50" s="196"/>
      <c r="D50" s="197"/>
      <c r="E50" s="197"/>
      <c r="F50" s="197"/>
      <c r="G50" s="198"/>
      <c r="H50" s="195"/>
      <c r="I50" s="189"/>
      <c r="J50" s="199"/>
      <c r="K50" s="190"/>
      <c r="L50" s="191"/>
      <c r="M50" s="200"/>
      <c r="N50" s="191"/>
      <c r="O50" s="191"/>
    </row>
    <row r="51" spans="1:20" s="154" customFormat="1" ht="14.1" customHeight="1" x14ac:dyDescent="0.25">
      <c r="A51" s="201" t="s">
        <v>115</v>
      </c>
      <c r="B51" s="202"/>
      <c r="C51" s="203"/>
      <c r="D51" s="82"/>
      <c r="E51" s="82"/>
      <c r="F51" s="82"/>
      <c r="G51" s="204"/>
      <c r="H51" s="82"/>
      <c r="I51" s="205"/>
      <c r="J51" s="206"/>
      <c r="K51" s="200"/>
      <c r="L51" s="191"/>
      <c r="M51" s="200"/>
      <c r="N51" s="191"/>
    </row>
    <row r="52" spans="1:20" s="154" customFormat="1" ht="14.1" customHeight="1" x14ac:dyDescent="0.25">
      <c r="A52" s="201" t="s">
        <v>116</v>
      </c>
      <c r="B52" s="202"/>
      <c r="C52" s="203"/>
      <c r="D52" s="82"/>
      <c r="E52" s="82"/>
      <c r="F52" s="82"/>
      <c r="G52" s="204"/>
      <c r="H52" s="82"/>
      <c r="I52" s="205"/>
      <c r="J52" s="206"/>
      <c r="K52" s="2"/>
    </row>
    <row r="53" spans="1:20" ht="14.1" customHeight="1" x14ac:dyDescent="0.25">
      <c r="A53" s="201" t="s">
        <v>117</v>
      </c>
      <c r="B53" s="202"/>
      <c r="C53" s="203"/>
      <c r="D53" s="82"/>
      <c r="E53" s="82"/>
      <c r="F53" s="82"/>
      <c r="G53" s="204"/>
      <c r="H53" s="82"/>
      <c r="I53" s="205"/>
      <c r="J53" s="207"/>
      <c r="L53" s="208"/>
    </row>
    <row r="54" spans="1:20" ht="14.1" customHeight="1" x14ac:dyDescent="0.25">
      <c r="A54" s="201" t="s">
        <v>118</v>
      </c>
      <c r="B54" s="209"/>
      <c r="C54" s="210"/>
      <c r="D54" s="211"/>
      <c r="E54" s="211"/>
      <c r="F54" s="211"/>
      <c r="G54" s="212"/>
      <c r="H54" s="213"/>
      <c r="I54" s="205"/>
      <c r="J54" s="207"/>
      <c r="L54" s="214"/>
    </row>
    <row r="55" spans="1:20" ht="14.1" customHeight="1" x14ac:dyDescent="0.25">
      <c r="A55" s="201" t="s">
        <v>119</v>
      </c>
      <c r="B55" s="215"/>
      <c r="C55" s="203"/>
      <c r="D55" s="211"/>
      <c r="E55" s="211"/>
      <c r="F55" s="211"/>
      <c r="G55" s="212"/>
      <c r="H55" s="213"/>
      <c r="I55" s="205"/>
      <c r="J55" s="207"/>
    </row>
    <row r="56" spans="1:20" ht="14.1" customHeight="1" x14ac:dyDescent="0.25">
      <c r="A56" s="201" t="s">
        <v>120</v>
      </c>
      <c r="B56" s="215"/>
      <c r="C56" s="210"/>
      <c r="D56" s="211"/>
      <c r="E56" s="211"/>
      <c r="F56" s="211"/>
      <c r="G56" s="212"/>
      <c r="H56" s="213"/>
      <c r="I56" s="205"/>
      <c r="J56" s="207"/>
    </row>
    <row r="57" spans="1:20" ht="14.1" customHeight="1" x14ac:dyDescent="0.25">
      <c r="A57" s="216"/>
      <c r="B57" s="213"/>
      <c r="C57" s="211"/>
      <c r="D57" s="51" t="s">
        <v>121</v>
      </c>
      <c r="E57" s="51"/>
      <c r="F57" s="51">
        <v>93.55</v>
      </c>
      <c r="G57" s="212"/>
      <c r="H57" s="213"/>
      <c r="I57" s="205"/>
      <c r="J57" s="217"/>
    </row>
    <row r="58" spans="1:20" ht="15" x14ac:dyDescent="0.25">
      <c r="A58" s="218" t="s">
        <v>122</v>
      </c>
      <c r="B58" s="68"/>
      <c r="C58" s="68"/>
      <c r="D58" s="68"/>
      <c r="E58" s="68"/>
      <c r="F58" s="68"/>
      <c r="G58" s="68"/>
      <c r="H58" s="219" t="s">
        <v>123</v>
      </c>
      <c r="I58" s="220" t="str">
        <f>+J35</f>
        <v xml:space="preserve">US Dollars  </v>
      </c>
      <c r="J58" s="179">
        <f>SUM(J45:J57,0)</f>
        <v>18348.493943519985</v>
      </c>
      <c r="K58" s="221">
        <f>J58*F57</f>
        <v>1716501.6084162944</v>
      </c>
      <c r="L58" s="222">
        <f>+J58-'[1]Cust-Inv'!J59</f>
        <v>0</v>
      </c>
      <c r="M58" s="223">
        <f>K58-'[1]Cust-Inv -INR'!J59</f>
        <v>0</v>
      </c>
      <c r="N58" s="223"/>
    </row>
    <row r="59" spans="1:20" ht="15.75" x14ac:dyDescent="0.25">
      <c r="A59" s="224" t="s">
        <v>124</v>
      </c>
      <c r="B59" s="224"/>
      <c r="C59" s="225" t="s">
        <v>125</v>
      </c>
      <c r="D59" s="226"/>
      <c r="E59" s="226"/>
      <c r="F59" s="226"/>
      <c r="G59" s="226"/>
      <c r="H59" s="226"/>
      <c r="I59" s="227"/>
      <c r="J59" s="228"/>
      <c r="K59" s="229" t="s">
        <v>126</v>
      </c>
      <c r="L59" s="230"/>
      <c r="M59" s="230"/>
      <c r="N59" s="230"/>
      <c r="O59" s="230"/>
      <c r="P59" s="230"/>
      <c r="Q59" s="230"/>
      <c r="R59" s="230"/>
      <c r="S59" s="231"/>
    </row>
    <row r="60" spans="1:20" ht="38.25" customHeight="1" x14ac:dyDescent="0.2">
      <c r="A60" s="229" t="s">
        <v>127</v>
      </c>
      <c r="B60" s="230"/>
      <c r="C60" s="230"/>
      <c r="D60" s="230"/>
      <c r="E60" s="230"/>
      <c r="F60" s="230"/>
      <c r="G60" s="230"/>
      <c r="H60" s="230"/>
      <c r="I60" s="230"/>
      <c r="J60" s="231"/>
      <c r="K60" s="222"/>
      <c r="L60" s="232"/>
    </row>
    <row r="61" spans="1:20" s="237" customFormat="1" ht="67.5" customHeight="1" x14ac:dyDescent="0.2">
      <c r="A61" s="233" t="s">
        <v>128</v>
      </c>
      <c r="B61" s="234"/>
      <c r="C61" s="234"/>
      <c r="D61" s="234"/>
      <c r="E61" s="234"/>
      <c r="F61" s="234"/>
      <c r="G61" s="234"/>
      <c r="H61" s="234"/>
      <c r="I61" s="234"/>
      <c r="J61" s="235"/>
      <c r="K61" s="236"/>
      <c r="L61" s="236"/>
      <c r="M61" s="236"/>
      <c r="N61" s="236"/>
      <c r="O61" s="236"/>
      <c r="P61" s="236"/>
      <c r="Q61" s="236"/>
      <c r="R61" s="236"/>
      <c r="S61" s="236"/>
      <c r="T61" s="236"/>
    </row>
    <row r="62" spans="1:20" ht="15" customHeight="1" x14ac:dyDescent="0.25">
      <c r="A62" s="238" t="s">
        <v>129</v>
      </c>
      <c r="B62" s="239"/>
      <c r="C62" s="240"/>
      <c r="D62" s="240"/>
      <c r="E62" s="240"/>
      <c r="F62" s="240"/>
      <c r="G62" s="240"/>
      <c r="H62" s="241"/>
      <c r="I62" s="242"/>
      <c r="J62" s="243"/>
      <c r="K62" s="244"/>
      <c r="L62" s="244"/>
      <c r="M62" s="244"/>
      <c r="N62" s="244"/>
    </row>
    <row r="63" spans="1:20" ht="14.1" customHeight="1" x14ac:dyDescent="0.25">
      <c r="A63" s="245" t="s">
        <v>130</v>
      </c>
      <c r="B63" s="246" t="s">
        <v>131</v>
      </c>
      <c r="C63" s="240"/>
      <c r="D63" s="240"/>
      <c r="E63" s="240"/>
      <c r="F63" s="240"/>
      <c r="G63" s="240"/>
      <c r="H63" s="247" t="s">
        <v>132</v>
      </c>
      <c r="I63" s="248"/>
      <c r="J63" s="249"/>
      <c r="K63" s="244"/>
      <c r="L63" s="244"/>
      <c r="M63" s="244"/>
      <c r="N63" s="244"/>
    </row>
    <row r="64" spans="1:20" ht="14.1" customHeight="1" x14ac:dyDescent="0.25">
      <c r="A64" s="245" t="s">
        <v>133</v>
      </c>
      <c r="B64" s="246" t="s">
        <v>134</v>
      </c>
      <c r="C64" s="240"/>
      <c r="D64" s="240"/>
      <c r="E64" s="240"/>
      <c r="F64" s="240"/>
      <c r="G64" s="240"/>
      <c r="H64" s="245"/>
      <c r="I64" s="76"/>
      <c r="J64" s="77"/>
      <c r="K64" s="244"/>
      <c r="L64" s="244"/>
      <c r="M64" s="244"/>
      <c r="N64" s="244"/>
    </row>
    <row r="65" spans="1:14" x14ac:dyDescent="0.2">
      <c r="A65" s="238" t="s">
        <v>135</v>
      </c>
      <c r="C65" s="240"/>
      <c r="D65" s="240"/>
      <c r="E65" s="240"/>
      <c r="F65" s="240"/>
      <c r="G65" s="240"/>
      <c r="H65" s="245"/>
      <c r="I65" s="76"/>
      <c r="J65" s="77"/>
      <c r="K65" s="244"/>
      <c r="L65" s="244"/>
      <c r="M65" s="244"/>
      <c r="N65" s="244"/>
    </row>
    <row r="66" spans="1:14" ht="14.1" customHeight="1" x14ac:dyDescent="0.2">
      <c r="A66" s="245" t="s">
        <v>136</v>
      </c>
      <c r="C66" s="82"/>
      <c r="D66" s="82"/>
      <c r="E66" s="82"/>
      <c r="F66" s="82"/>
      <c r="G66" s="82"/>
      <c r="H66" s="245"/>
      <c r="I66" s="76"/>
      <c r="J66" s="77"/>
      <c r="K66" s="244"/>
      <c r="L66" s="244"/>
      <c r="M66" s="244"/>
      <c r="N66" s="244"/>
    </row>
    <row r="67" spans="1:14" ht="14.1" customHeight="1" x14ac:dyDescent="0.2">
      <c r="A67" s="250" t="s">
        <v>137</v>
      </c>
      <c r="B67" s="251"/>
      <c r="C67" s="251"/>
      <c r="D67" s="251"/>
      <c r="E67" s="251"/>
      <c r="F67" s="251"/>
      <c r="G67" s="251"/>
      <c r="H67" s="252" t="s">
        <v>138</v>
      </c>
      <c r="I67" s="253"/>
      <c r="J67" s="254"/>
    </row>
    <row r="68" spans="1:14" ht="14.1" customHeight="1" x14ac:dyDescent="0.25">
      <c r="B68" s="255"/>
    </row>
    <row r="69" spans="1:14" ht="14.1" customHeight="1" x14ac:dyDescent="0.2"/>
  </sheetData>
  <mergeCells count="45">
    <mergeCell ref="A60:J60"/>
    <mergeCell ref="A61:J61"/>
    <mergeCell ref="K61:T61"/>
    <mergeCell ref="K62:N66"/>
    <mergeCell ref="H63:J63"/>
    <mergeCell ref="H67:J67"/>
    <mergeCell ref="H34:H35"/>
    <mergeCell ref="A36:B36"/>
    <mergeCell ref="B38:B40"/>
    <mergeCell ref="C45:D45"/>
    <mergeCell ref="M47:N47"/>
    <mergeCell ref="A59:B59"/>
    <mergeCell ref="C59:I59"/>
    <mergeCell ref="K59:S59"/>
    <mergeCell ref="A33:B33"/>
    <mergeCell ref="C33:F33"/>
    <mergeCell ref="A34:A35"/>
    <mergeCell ref="B34:B35"/>
    <mergeCell ref="C34:F34"/>
    <mergeCell ref="G34:G35"/>
    <mergeCell ref="A30:B30"/>
    <mergeCell ref="C30:F30"/>
    <mergeCell ref="A31:B31"/>
    <mergeCell ref="C31:F31"/>
    <mergeCell ref="A32:B32"/>
    <mergeCell ref="C32:F32"/>
    <mergeCell ref="G19:H19"/>
    <mergeCell ref="I19:J19"/>
    <mergeCell ref="G22:J24"/>
    <mergeCell ref="A28:B28"/>
    <mergeCell ref="C28:F28"/>
    <mergeCell ref="A29:B29"/>
    <mergeCell ref="C29:F29"/>
    <mergeCell ref="L6:O6"/>
    <mergeCell ref="L7:O7"/>
    <mergeCell ref="J8:J9"/>
    <mergeCell ref="G11:J12"/>
    <mergeCell ref="G18:H18"/>
    <mergeCell ref="I18:J18"/>
    <mergeCell ref="A1:J1"/>
    <mergeCell ref="A2:A3"/>
    <mergeCell ref="B2:I2"/>
    <mergeCell ref="J2:J3"/>
    <mergeCell ref="B3:I3"/>
    <mergeCell ref="H6:J6"/>
  </mergeCells>
  <printOptions horizontalCentered="1"/>
  <pageMargins left="0.15748031496062992" right="0.23622047244094491" top="0.23622047244094491" bottom="0.19685039370078741" header="0.15748031496062992" footer="0.15748031496062992"/>
  <pageSetup paperSize="9" scale="73" orientation="portrait" r:id="rId1"/>
  <headerFooter alignWithMargins="0"/>
  <rowBreaks count="1" manualBreakCount="1">
    <brk id="7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2026-09-15T04:52:31Z</dcterms:created>
  <dcterms:modified xsi:type="dcterms:W3CDTF">2026-09-15T04:52:54Z</dcterms:modified>
</cp:coreProperties>
</file>